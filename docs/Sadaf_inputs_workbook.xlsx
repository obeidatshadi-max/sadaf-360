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7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fa650d1ed64f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0ea1d5e349154583"/>
    <x:sheet xmlns:r="http://schemas.openxmlformats.org/officeDocument/2006/relationships" name="Report map" sheetId="2" r:id="R943908ba7e3049df"/>
    <x:sheet xmlns:r="http://schemas.openxmlformats.org/officeDocument/2006/relationships" name="ERP requirements" sheetId="3" r:id="R15532b42c6754f03"/>
    <x:sheet xmlns:r="http://schemas.openxmlformats.org/officeDocument/2006/relationships" name="Basic weekly" sheetId="4" r:id="R9c2c2a476f0e4dfe"/>
    <x:sheet xmlns:r="http://schemas.openxmlformats.org/officeDocument/2006/relationships" name="Basic monthly" sheetId="5" r:id="R0e218a5d8f1d4ac6"/>
    <x:sheet xmlns:r="http://schemas.openxmlformats.org/officeDocument/2006/relationships" name="Advanced weekly" sheetId="6" r:id="Rb8776c2e92e1450a"/>
    <x:sheet xmlns:r="http://schemas.openxmlformats.org/officeDocument/2006/relationships" name="Advanced monthly" sheetId="7" r:id="Rc465ff6c20be4d60"/>
    <x:sheet xmlns:r="http://schemas.openxmlformats.org/officeDocument/2006/relationships" name="Worked examples" sheetId="8" r:id="Rff8018b72b544a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dd-mmm-yyyy"/>
    <x:numFmt numFmtId="201" formatCode="#,##0.00;(#,##0.00);0.00"/>
    <x:numFmt numFmtId="202" formatCode="mmm yyyy"/>
    <x:numFmt numFmtId="203" formatCode="0.0%"/>
    <x:numFmt numFmtId="204" formatCode="0.0"/>
    <x:numFmt numFmtId="205" formatCode="0%"/>
    <x:numFmt numFmtId="206" formatCode="0"/>
  </x:numFmts>
  <x:fonts count="8">
    <x:font>
      <x:sz val="11"/>
      <x:name val="Carlito"/>
    </x:font>
    <x:font>
      <x:sz val="11"/>
      <x:color rgb="FF26374A"/>
      <x:name val="Arial"/>
    </x:font>
    <x:font>
      <x:b/>
      <x:sz val="18"/>
      <x:color rgb="FF26374A"/>
      <x:name val="Arial"/>
    </x:font>
    <x:font>
      <x:sz val="11"/>
      <x:color rgb="FF64748B"/>
      <x:name val="Arial"/>
    </x:font>
    <x:font>
      <x:sz val="10"/>
      <x:color rgb="FF64748B"/>
      <x:name val="Arial"/>
    </x:font>
    <x:font>
      <x:b/>
      <x:sz val="11"/>
      <x:color rgb="FFFFFFFF"/>
      <x:name val="Arial"/>
    </x:font>
    <x:font>
      <x:b/>
      <x:sz val="12"/>
      <x:color rgb="FF26374A"/>
      <x:name val="Arial"/>
    </x:font>
    <x:font>
      <x:b/>
      <x:sz val="11"/>
      <x:color rgb="FF26374A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26374A"/>
      </x:patternFill>
    </x:fill>
    <x:fill>
      <x:patternFill patternType="solid">
        <x:fgColor rgb="FFFFFFFF"/>
      </x:patternFill>
    </x:fill>
    <x:fill>
      <x:patternFill patternType="solid">
        <x:fgColor rgb="FFF4F7F9"/>
      </x:patternFill>
    </x:fill>
    <x:fill>
      <x:patternFill patternType="solid">
        <x:fgColor rgb="FFFFF5D9"/>
      </x:patternFill>
    </x:fill>
    <x:fill>
      <x:patternFill patternType="solid">
        <x:fgColor rgb="FFE7EDF3"/>
      </x:patternFill>
    </x:fill>
    <x:fill>
      <x:patternFill patternType="solid">
        <x:fgColor rgb="FFE9F1F7"/>
      </x:patternFill>
    </x:fill>
    <x:fill>
      <x:patternFill patternType="solid">
        <x:fgColor rgb="FFF0F2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1" fontId="1" fillId="7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  <x:xf numFmtId="201" fontId="1" fillId="8" borderId="0" xfId="0" applyNumberFormat="1" applyFont="1" applyFill="1" applyBorder="1" applyAlignment="1">
      <x:alignment vertical="center" wrapText="1"/>
    </x:xf>
    <x:xf numFmtId="200" fontId="1" fillId="8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202" fontId="1" fillId="7" borderId="0" xfId="0" applyNumberFormat="1" applyFont="1" applyFill="1" applyBorder="1" applyAlignment="1">
      <x:alignment vertical="center" wrapText="1"/>
    </x:xf>
    <x:xf numFmtId="202" fontId="1" fillId="5" borderId="0" xfId="0" applyNumberFormat="1" applyFont="1" applyFill="1" applyBorder="1" applyAlignment="1">
      <x:alignment vertical="center" wrapText="1"/>
    </x:xf>
    <x:xf numFmtId="203" fontId="1" fillId="7" borderId="0" xfId="0" applyNumberFormat="1" applyFont="1" applyFill="1" applyBorder="1" applyAlignment="1">
      <x:alignment vertical="center" wrapText="1"/>
    </x:xf>
    <x:xf numFmtId="203" fontId="1" fillId="5" borderId="0" xfId="0" applyNumberFormat="1" applyFont="1" applyFill="1" applyBorder="1" applyAlignment="1">
      <x:alignment vertical="center" wrapText="1"/>
    </x:xf>
    <x:xf numFmtId="203" fontId="1" fillId="8" borderId="0" xfId="0" applyNumberFormat="1" applyFont="1" applyFill="1" applyBorder="1" applyAlignment="1">
      <x:alignment vertical="center" wrapText="1"/>
    </x:xf>
    <x:xf numFmtId="204" fontId="1" fillId="7" borderId="0" xfId="0" applyNumberFormat="1" applyFont="1" applyFill="1" applyBorder="1" applyAlignment="1">
      <x:alignment vertical="center" wrapText="1"/>
    </x:xf>
    <x:xf numFmtId="204" fontId="1" fillId="5" borderId="0" xfId="0" applyNumberFormat="1" applyFont="1" applyFill="1" applyBorder="1" applyAlignment="1">
      <x:alignment vertical="center" wrapText="1"/>
    </x:xf>
    <x:xf numFmtId="204" fontId="1" fillId="8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 applyAlignment="1">
      <x:alignment vertical="center"/>
    </x:xf>
    <x:xf numFmtId="205" fontId="1" fillId="5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1" fontId="1" fillId="8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6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1" fontId="1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 wrapText="1"/>
    </x:xf>
    <x:xf numFmtId="201" fontId="7" fillId="7" borderId="0" xfId="0" applyNumberFormat="1" applyFont="1" applyFill="1" applyBorder="1" applyAlignment="1">
      <x:alignment vertical="center"/>
    </x:xf>
    <x:xf numFmtId="203" fontId="1" fillId="7" borderId="0" xfId="0" applyNumberFormat="1" applyFont="1" applyFill="1" applyBorder="1" applyAlignment="1">
      <x:alignment vertical="center"/>
    </x:xf>
    <x:xf numFmtId="203" fontId="7" fillId="7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522cd79fad456e" /><Relationship Type="http://schemas.openxmlformats.org/officeDocument/2006/relationships/theme" Target="/xl/theme/theme1.xml" Id="R1c0ba6e784e940b4" /><Relationship Type="http://schemas.openxmlformats.org/officeDocument/2006/relationships/sharedStrings" Target="/xl/sharedStrings.xml" Id="R3f91b05a86464204" /><Relationship Type="http://schemas.openxmlformats.org/officeDocument/2006/relationships/worksheet" Target="/xl/worksheets/sheet1.xml" Id="R0ea1d5e349154583" /><Relationship Type="http://schemas.openxmlformats.org/officeDocument/2006/relationships/worksheet" Target="/xl/worksheets/sheet2.xml" Id="R943908ba7e3049df" /><Relationship Type="http://schemas.openxmlformats.org/officeDocument/2006/relationships/worksheet" Target="/xl/worksheets/sheet3.xml" Id="R15532b42c6754f03" /><Relationship Type="http://schemas.openxmlformats.org/officeDocument/2006/relationships/worksheet" Target="/xl/worksheets/sheet4.xml" Id="R9c2c2a476f0e4dfe" /><Relationship Type="http://schemas.openxmlformats.org/officeDocument/2006/relationships/worksheet" Target="/xl/worksheets/sheet5.xml" Id="R0e218a5d8f1d4ac6" /><Relationship Type="http://schemas.openxmlformats.org/officeDocument/2006/relationships/worksheet" Target="/xl/worksheets/sheet6.xml" Id="Rb8776c2e92e1450a" /><Relationship Type="http://schemas.openxmlformats.org/officeDocument/2006/relationships/worksheet" Target="/xl/worksheets/sheet7.xml" Id="Rc465ff6c20be4d60" /><Relationship Type="http://schemas.openxmlformats.org/officeDocument/2006/relationships/worksheet" Target="/xl/worksheets/sheet8.xml" Id="Rff8018b72b544a9c" /></Relationships>
</file>

<file path=xl/tables/table1.xml><?xml version="1.0" encoding="utf-8"?>
<x:table xmlns:x="http://schemas.openxmlformats.org/spreadsheetml/2006/main" id="14" name="Guide" displayName="Guide" ref="A7:B25" headerRowCount="1" totalsRowCount="0" totalsRowShown="0">
  <x:autoFilter ref="A7:B25"/>
  <x:tableColumns count="2">
    <x:tableColumn id="1" name="Topic"/>
    <x:tableColumn id="2" name="How to use this workboo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portRequirements" displayName="ReportRequirements" ref="A8:H23" headerRowCount="1" totalsRowCount="0" totalsRowShown="0">
  <x:autoFilter ref="A8:H23"/>
  <x:tableColumns count="8">
    <x:tableColumn id="1" name="Report ID"/>
    <x:tableColumn id="2" name="Version"/>
    <x:tableColumn id="3" name="Insight / report"/>
    <x:tableColumn id="4" name="ERP inputs"/>
    <x:tableColumn id="5" name="Manual inputs"/>
    <x:tableColumn id="6" name="Report refresh"/>
    <x:tableColumn id="7" name="Calculation / interpretation"/>
    <x:tableColumn id="8" name="If required data is miss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ERPChecklist" displayName="ERPChecklist" ref="A8:H21" headerRowCount="1" totalsRowCount="0" totalsRowShown="0">
  <x:autoFilter ref="A8:H21"/>
  <x:tableColumns count="8">
    <x:tableColumn id="1" name="ID"/>
    <x:tableColumn id="2" name="Version"/>
    <x:tableColumn id="3" name="Data file / report"/>
    <x:tableColumn id="4" name="Minimum fields needed"/>
    <x:tableColumn id="5" name="Refresh"/>
    <x:tableColumn id="6" name="Responsible role"/>
    <x:tableColumn id="7" name="Availability"/>
    <x:tableColumn id="8" name="Alpha report name / missing field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Input_BW1" displayName="Input_BW1" ref="A10:I16" headerRowCount="1" totalsRowCount="0" totalsRowShown="0">
  <x:autoFilter ref="A10:I16"/>
  <x:tableColumns count="9">
    <x:tableColumn id="1" name="Review week ending"/>
    <x:tableColumn id="2" name="Action code"/>
    <x:tableColumn id="3" name="Customer / product / order code"/>
    <x:tableColumn id="4" name="Next action"/>
    <x:tableColumn id="5" name="Responsible person"/>
    <x:tableColumn id="6" name="Action due date"/>
    <x:tableColumn id="7" name="Status"/>
    <x:tableColumn id="8" name="Promised amount (JOD)"/>
    <x:tableColumn id="9" name="Promised payment d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Input_BW2" displayName="Input_BW2" ref="A23:H29" headerRowCount="1" totalsRowCount="0" totalsRowShown="0">
  <x:autoFilter ref="A23:H29"/>
  <x:tableColumns count="8">
    <x:tableColumn id="1" name="Week ending"/>
    <x:tableColumn id="2" name="Product code"/>
    <x:tableColumn id="3" name="Batch code"/>
    <x:tableColumn id="4" name="Warehouse / location"/>
    <x:tableColumn id="5" name="Batch quantity if missing"/>
    <x:tableColumn id="6" name="Counting unit"/>
    <x:tableColumn id="7" name="Expiry date"/>
    <x:tableColumn id="8" name="Source / check refer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Input_BM1" displayName="Input_BM1" ref="A10:E16" headerRowCount="1" totalsRowCount="0" totalsRowShown="0">
  <x:autoFilter ref="A10:E16"/>
  <x:tableColumns count="5">
    <x:tableColumn id="1" name="Month"/>
    <x:tableColumn id="2" name="Category or All"/>
    <x:tableColumn id="3" name="Sales target (JOD)"/>
    <x:tableColumn id="4" name="Gross margin target"/>
    <x:tableColumn id="5" name="Collection target (JOD)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Input_BM2" displayName="Input_BM2" ref="A23:E29" headerRowCount="1" totalsRowCount="0" totalsRowShown="0">
  <x:autoFilter ref="A23:E29"/>
  <x:tableColumns count="5">
    <x:tableColumn id="1" name="Reviewed month"/>
    <x:tableColumn id="2" name="Scope / record code"/>
    <x:tableColumn id="3" name="Field to maintain"/>
    <x:tableColumn id="4" name="Confirmed value"/>
    <x:tableColumn id="5" name="Source / approval referen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Input_AW1" displayName="Input_AW1" ref="A10:K16" headerRowCount="1" totalsRowCount="0" totalsRowShown="0">
  <x:autoFilter ref="A10:K16"/>
  <x:tableColumns count="11">
    <x:tableColumn id="1" name="Record code"/>
    <x:tableColumn id="2" name="Record type"/>
    <x:tableColumn id="3" name="Customer code"/>
    <x:tableColumn id="4" name="Category"/>
    <x:tableColumn id="5" name="Product / scope"/>
    <x:tableColumn id="6" name="Stage"/>
    <x:tableColumn id="7" name="Total value (JOD)"/>
    <x:tableColumn id="8" name="Full planned cost (JOD)"/>
    <x:tableColumn id="9" name="Next event / key issue"/>
    <x:tableColumn id="10" name="Next event date"/>
    <x:tableColumn id="11" name="Responsible pers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Input_AW2" displayName="Input_AW2" ref="A23:H29" headerRowCount="1" totalsRowCount="0" totalsRowShown="0">
  <x:autoFilter ref="A23:H29"/>
  <x:tableColumns count="8">
    <x:tableColumn id="1" name="Week ending"/>
    <x:tableColumn id="2" name="Delivery / PO line code"/>
    <x:tableColumn id="3" name="Direction"/>
    <x:tableColumn id="4" name="Supplier / customer code"/>
    <x:tableColumn id="5" name="Promised full-delivery date"/>
    <x:tableColumn id="6" name="Actual full-delivery date"/>
    <x:tableColumn id="7" name="Outstanding quantity"/>
    <x:tableColumn id="8" name="Delay cause / sour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Input_AM1" displayName="Input_AM1" ref="A10:K16" headerRowCount="1" totalsRowCount="0" totalsRowShown="0">
  <x:autoFilter ref="A10:K16"/>
  <x:tableColumns count="11">
    <x:tableColumn id="1" name="Unit / serial ID"/>
    <x:tableColumn id="2" name="Customer code"/>
    <x:tableColumn id="3" name="Model product code"/>
    <x:tableColumn id="4" name="Installation date"/>
    <x:tableColumn id="5" name="Unit status"/>
    <x:tableColumn id="6" name="Ownership"/>
    <x:tableColumn id="7" name="Warranty ends"/>
    <x:tableColumn id="8" name="Agreement held?"/>
    <x:tableColumn id="9" name="Agreement starts"/>
    <x:tableColumn id="10" name="Agreement ends"/>
    <x:tableColumn id="11" name="Agreement referen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Input_AM2" displayName="Input_AM2" ref="A23:G29" headerRowCount="1" totalsRowCount="0" totalsRowShown="0">
  <x:autoFilter ref="A23:G29"/>
  <x:tableColumns count="7">
    <x:tableColumn id="1" name="Model product code"/>
    <x:tableColumn id="2" name="Consumable product code"/>
    <x:tableColumn id="3" name="Activity counting unit"/>
    <x:tableColumn id="4" name="Consumable quantity per activity"/>
    <x:tableColumn id="5" name="Consumable counting unit"/>
    <x:tableColumn id="6" name="Technical evidence reference"/>
    <x:tableColumn id="7" name="Last checked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Input_AM3" displayName="Input_AM3" ref="A36:I42" headerRowCount="1" totalsRowCount="0" totalsRowShown="0">
  <x:autoFilter ref="A36:I42"/>
  <x:tableColumns count="9">
    <x:tableColumn id="1" name="Month"/>
    <x:tableColumn id="2" name="Unit ID"/>
    <x:tableColumn id="3" name="Consumable product code"/>
    <x:tableColumn id="4" name="Activity count"/>
    <x:tableColumn id="5" name="Practical activity capacity"/>
    <x:tableColumn id="6" name="Customer-held quantity"/>
    <x:tableColumn id="7" name="Price JOD if unavailable"/>
    <x:tableColumn id="8" name="Sales allocation % if needed"/>
    <x:tableColumn id="9" name="Evidence / reliability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2" name="Input_AM4" displayName="Input_AM4" ref="A49:H55" headerRowCount="1" totalsRowCount="0" totalsRowShown="0">
  <x:autoFilter ref="A49:H55"/>
  <x:tableColumns count="8">
    <x:tableColumn id="1" name="Cost reference"/>
    <x:tableColumn id="2" name="Cost date"/>
    <x:tableColumn id="3" name="Project / order code"/>
    <x:tableColumn id="4" name="Category"/>
    <x:tableColumn id="5" name="Cost type"/>
    <x:tableColumn id="6" name="Actual or Estimate"/>
    <x:tableColumn id="7" name="Amount (JOD)"/>
    <x:tableColumn id="8" name="Source / assignment basi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3" name="Input_AM5" displayName="Input_AM5" ref="A62:G68" headerRowCount="1" totalsRowCount="0" totalsRowShown="0">
  <x:autoFilter ref="A62:G68"/>
  <x:tableColumns count="7">
    <x:tableColumn id="1" name="Month"/>
    <x:tableColumn id="2" name="Indicator"/>
    <x:tableColumn id="3" name="Count meeting target / vacancy days"/>
    <x:tableColumn id="4" name="Total checked for a rate"/>
    <x:tableColumn id="5" name="Target (% or days)"/>
    <x:tableColumn id="6" name="Evidence reference"/>
    <x:tableColumn id="7" name="Calculated result (% or days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40d3b445f449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6847e6ab95649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cd943cfab9845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a77a5ae8e76417e" /><Relationship Type="http://schemas.openxmlformats.org/officeDocument/2006/relationships/table" Target="/xl/tables/table5.xml" Id="R573f9f796b1a4b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60f9d1d79c624182" /><Relationship Type="http://schemas.openxmlformats.org/officeDocument/2006/relationships/table" Target="/xl/tables/table7.xml" Id="Rdf945796f28746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7b3f675e92ba497e" /><Relationship Type="http://schemas.openxmlformats.org/officeDocument/2006/relationships/table" Target="/xl/tables/table9.xml" Id="Rbfa2308045034db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0.xml" Id="R33a9a44d99ef4049" /><Relationship Type="http://schemas.openxmlformats.org/officeDocument/2006/relationships/table" Target="/xl/tables/table11.xml" Id="Rbf0b180b6b0148a6" /><Relationship Type="http://schemas.openxmlformats.org/officeDocument/2006/relationships/table" Target="/xl/tables/table12.xml" Id="R58225bd266b34f5e" /><Relationship Type="http://schemas.openxmlformats.org/officeDocument/2006/relationships/table" Target="/xl/tables/table13.xml" Id="Re8fa41fadd524aae" /><Relationship Type="http://schemas.openxmlformats.org/officeDocument/2006/relationships/table" Target="/xl/tables/table14.xml" Id="Rdc25f1bb859f4186" /></Relationships>
</file>

<file path=xl/worksheets/sheet1.xml><?xml version="1.0" encoding="utf-8"?>
<x:worksheet xmlns:x="http://schemas.openxmlformats.org/spreadsheetml/2006/main">
  <x:sheetPr>
    <x:tabColor rgb="FF26374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108" hidden="0" customWidth="1"/>
  </x:cols>
  <x:sheetData>
    <x:row r="1" ht="24" customHeight="1">
      <x:c r="A1" s="2"/>
      <x:c r="B1" s="2"/>
    </x:row>
    <x:row r="2" ht="33" customHeight="1">
      <x:c r="A2" s="3" t="str">
        <x:v>Sadaf Medical: data needed for useful reports</x:v>
      </x:c>
      <x:c r="B2" s="2"/>
    </x:row>
    <x:row r="3" ht="24" customHeight="1">
      <x:c r="A3" s="2"/>
      <x:c r="B3" s="2"/>
    </x:row>
    <x:row r="4" ht="24" customHeight="1">
      <x:c r="A4" s="4" t="str">
        <x:v>A report-led input plan for Basic and Advanced. All submissions are weekly or monthly.</x:v>
      </x:c>
      <x:c r="B4" s="2"/>
    </x:row>
    <x:row r="5" ht="24" customHeight="1">
      <x:c r="A5" s="2"/>
      <x:c r="B5" s="2"/>
    </x:row>
    <x:row r="6" ht="24" customHeight="1">
      <x:c r="A6" s="2"/>
      <x:c r="B6" s="2"/>
    </x:row>
    <x:row r="7" ht="46" customHeight="1">
      <x:c r="A7" s="8" t="str">
        <x:v>Topic</x:v>
      </x:c>
      <x:c r="B7" s="8" t="str">
        <x:v>How to use this workbook</x:v>
      </x:c>
    </x:row>
    <x:row r="8" ht="44" customHeight="1">
      <x:c r="A8" s="10" t="str">
        <x:v>Basic version</x:v>
      </x:c>
      <x:c r="B8" s="10" t="str">
        <x:v>Use ERP E01–E07, Basic weekly and Basic monthly. BW2 and BM2 are gap-only inputs; targets are optional for actuals reporting.</x:v>
      </x:c>
    </x:row>
    <x:row r="9" ht="44" customHeight="1">
      <x:c r="A9" s="11" t="str">
        <x:v>Advanced version</x:v>
      </x:c>
      <x:c r="B9" s="11" t="str">
        <x:v>Use all Basic data plus E08–E09 and the Advanced tabs. E10–E13 can replace manual operational records when those exports exist.</x:v>
      </x:c>
    </x:row>
    <x:row r="10" ht="44" customHeight="1">
      <x:c r="A10" s="10" t="str">
        <x:v>Weekly pack</x:v>
      </x:c>
      <x:c r="B10" s="10" t="str">
        <x:v>Refresh dated sales, receipts, unpaid balances and stock. Review BW1/BW2. Advanced also reviews AW1/AW2 and delivery exports.</x:v>
      </x:c>
    </x:row>
    <x:row r="11" ht="44" customHeight="1">
      <x:c r="A11" s="11" t="str">
        <x:v>Monthly pack</x:v>
      </x:c>
      <x:c r="B11" s="11" t="str">
        <x:v>Close the previous month, reconcile to Alpha, confirm targets/settings, and review equipment, customer usage, costs and department results.</x:v>
      </x:c>
    </x:row>
    <x:row r="12" ht="44" customHeight="1">
      <x:c r="A12" s="10" t="str">
        <x:v>Keep the work small</x:v>
      </x:c>
      <x:c r="B12" s="10" t="str">
        <x:v>Update existing records and unchanged settings only where needed. Fill a manual field only when it cannot be supplied reliably by an existing system.</x:v>
      </x:c>
    </x:row>
    <x:row r="13" ht="44" customHeight="1">
      <x:c r="A13" s="11" t="str">
        <x:v>First monthly cycle</x:v>
      </x:c>
      <x:c r="B13" s="11" t="str">
        <x:v>Confirm ERP availability in the last two columns of ERP requirements. Load the historical baseline and current equipment/agreements in one starting pack.</x:v>
      </x:c>
    </x:row>
    <x:row r="14" ht="44" customHeight="1">
      <x:c r="A14" s="10" t="str">
        <x:v>Required by the report</x:v>
      </x:c>
      <x:c r="B14" s="10" t="str">
        <x:v>Report map shows the exact ERP and manual inputs for every insight. Missing data leaves that insight unavailable; it must not become a guessed number.</x:v>
      </x:c>
    </x:row>
    <x:row r="15" ht="44" customHeight="1">
      <x:c r="A15" s="11" t="str">
        <x:v>Colors and examples</x:v>
      </x:c>
      <x:c r="B15" s="11" t="str">
        <x:v>Blue rows are demo examples. Clear their contents before real use. Yellow cells are manual inputs; grey cells are conditional inputs or calculated outputs.</x:v>
      </x:c>
    </x:row>
    <x:row r="16" ht="44" customHeight="1">
      <x:c r="A16" s="10" t="str">
        <x:v>Dates and units</x:v>
      </x:c>
      <x:c r="B16" s="10" t="str">
        <x:v>Keep original transaction, due, installation and expiry dates even though submission is weekly/monthly. Amounts are JOD; normalize pack sizes before comparing quantities.</x:v>
      </x:c>
    </x:row>
    <x:row r="17" ht="44" customHeight="1">
      <x:c r="A17" s="11" t="str">
        <x:v>Prevent duplicates</x:v>
      </x:c>
      <x:c r="B17" s="11" t="str">
        <x:v>Transactions need stable IDs. Replace dated balance/stock snapshots rather than adding them together. Extra costs must not duplicate Alpha or product cost.</x:v>
      </x:c>
    </x:row>
    <x:row r="18" ht="44" customHeight="1">
      <x:c r="A18" s="10" t="str">
        <x:v>Weekly / monthly alignment</x:v>
      </x:c>
      <x:c r="B18" s="10" t="str">
        <x:v>Use the latest complete month for activity, capacity and purchase-gap comparisons. Label its month on the weekly dashboard; do not compare a weekly purchase total with monthly demand.</x:v>
      </x:c>
    </x:row>
    <x:row r="19" ht="44" customHeight="1">
      <x:c r="A19" s="11" t="str">
        <x:v>Cash and profit</x:v>
      </x:c>
      <x:c r="B19" s="11" t="str">
        <x:v>Receipts are not sales; unpaid balances are not losses. Profit after direct costs excludes general company costs, tax and finance costs.</x:v>
      </x:c>
    </x:row>
    <x:row r="20" ht="44" customHeight="1">
      <x:c r="A20" s="10" t="str">
        <x:v>What the current demo does</x:v>
      </x:c>
      <x:c r="B20" s="10" t="str">
        <x:v>The reviewed site displays fixed demo data. Its upload feature checks CSV columns/values; it does not load this workbook or regenerate real reports.</x:v>
      </x:c>
    </x:row>
    <x:row r="21" ht="44" customHeight="1">
      <x:c r="A21" s="11" t="str">
        <x:v>What must be implemented</x:v>
      </x:c>
      <x:c r="B21" s="11" t="str">
        <x:v>Connect the confirmed Alpha exports and these manual tables, calculate the reports, and reconcile totals. This workbook is the data checklist and entry guide.</x:v>
      </x:c>
    </x:row>
    <x:row r="22" ht="44" customHeight="1">
      <x:c r="A22" s="10" t="str">
        <x:v>Review basis</x:v>
      </x:c>
      <x:c r="B22" s="10" t="str">
        <x:v>Sadaf dashboard publication 4 and saved HTML version 5, reviewed 08-Oct-2026. No installed Alpha version or real export has yet been inspected.</x:v>
      </x:c>
    </x:row>
    <x:row r="23" ht="44" customHeight="1">
      <x:c r="A23" s="11" t="str">
        <x:v>Dashboard</x:v>
      </x:c>
      <x:c r="B23" s="11" t="str">
        <x:v>https://sadaf-medical-portfolio-demo.obeidatshadi.chatgpt.site</x:v>
      </x:c>
    </x:row>
    <x:row r="24" ht="44" customHeight="1">
      <x:c r="A24" s="10" t="str">
        <x:v>Worked examples</x:v>
      </x:c>
      <x:c r="B24" s="10" t="str">
        <x:v>Two fictional customer/project cases show arithmetic and data links. They demonstrate the logic; they are not complete Sadaf reports or an ERP connection.</x:v>
      </x:c>
    </x:row>
    <x:row r="25" ht="44" customHeight="1">
      <x:c r="A25" s="11" t="str">
        <x:v>Design</x:v>
      </x:c>
      <x:c r="B25" s="11" t="str">
        <x:v>Shadi Obeidat</x:v>
      </x:c>
    </x:row>
    <x:row r="26" ht="24" customHeight="1">
      <x:c r="A26" s="2"/>
      <x:c r="B26" s="2"/>
    </x:row>
    <x:row r="27" ht="24" customHeight="1">
      <x:c r="A27" s="2"/>
      <x:c r="B27" s="2"/>
    </x:row>
    <x:row r="28" ht="42" customHeight="1">
      <x:c r="A28" s="33" t="str">
        <x:v>Basic ERP datasets confirmed</x:v>
      </x:c>
      <x:c r="B28" s="2" t="n">
        <x:f>COUNTIF('ERP requirements'!G9:G15,"Available")</x:f>
        <x:v>0</x:v>
      </x:c>
    </x:row>
    <x:row r="29" ht="42" customHeight="1">
      <x:c r="A29" s="33" t="str">
        <x:v>Basic ERP datasets to verify</x:v>
      </x:c>
      <x:c r="B29" s="2" t="n">
        <x:f>7-B28</x:f>
        <x:v>7</x:v>
      </x:c>
    </x:row>
    <x:row r="30" ht="42" customHeight="1">
      <x:c r="A30" s="33" t="str">
        <x:v>Advanced accounting datasets confirmed</x:v>
      </x:c>
      <x:c r="B30" s="2" t="n">
        <x:f>COUNTIF('ERP requirements'!G16:G17,"Available")</x:f>
        <x:v>0</x:v>
      </x:c>
    </x:row>
    <x:row r="31" ht="42" customHeight="1">
      <x:c r="A31" s="33" t="str">
        <x:v>Advanced accounting datasets to verify</x:v>
      </x:c>
      <x:c r="B31" s="2" t="n">
        <x:f>2-B30</x:f>
        <x:v>2</x:v>
      </x:c>
    </x:row>
    <x:row r="32" ht="24" customHeight="1">
      <x:c r="A32" s="2"/>
      <x:c r="B32" s="2"/>
    </x:row>
    <x:row r="33" ht="24" customHeight="1">
      <x:c r="A33" s="5" t="str">
        <x:v>Available means all listed fields are verified in an export. Partial, Other system and manual completion still need a field-level check.</x:v>
      </x:c>
      <x:c r="B33" s="2"/>
    </x:row>
    <x:row r="34" ht="24" customHeight="1">
      <x:c r="A34" s="5" t="str">
        <x:v>These counts track export verification only. They do not certify report accuracy, integration or manual-data completion.</x:v>
      </x:c>
      <x:c r="B34" s="2"/>
    </x:row>
    <x:row r="35" ht="24" customHeight="1">
      <x:c r="A35" s="2"/>
      <x:c r="B35" s="2"/>
    </x:row>
    <x:row r="36" ht="24" customHeight="1">
      <x:c r="A36" s="2"/>
      <x:c r="B36" s="2"/>
    </x:row>
    <x:row r="37" ht="24" customHeight="1">
      <x:c r="A37" s="2"/>
      <x:c r="B37" s="2"/>
    </x:row>
    <x:row r="38" ht="24" customHeight="1">
      <x:c r="A38" s="2"/>
      <x:c r="B38" s="2"/>
    </x:row>
    <x:row r="39" ht="24" customHeight="1">
      <x:c r="A39" s="2"/>
      <x:c r="B39" s="2"/>
    </x:row>
    <x:row r="40" ht="24" customHeight="1">
      <x:c r="A40" s="2"/>
      <x:c r="B40" s="2"/>
    </x:row>
    <x:row r="41" ht="24" customHeight="1">
      <x:c r="A41" s="2"/>
      <x:c r="B41" s="2"/>
    </x:row>
    <x:row r="42" ht="24" customHeight="1">
      <x:c r="A42" s="2"/>
      <x:c r="B42" s="2"/>
    </x:row>
    <x:row r="43" ht="24" customHeight="1">
      <x:c r="A43" s="2"/>
      <x:c r="B43" s="2"/>
    </x:row>
    <x:row r="44" ht="24" customHeight="1">
      <x:c r="A44" s="2"/>
      <x:c r="B44" s="2"/>
    </x:row>
    <x:row r="45" ht="24" customHeight="1">
      <x:c r="A45" s="2"/>
      <x:c r="B45" s="2"/>
    </x:row>
    <x:row r="46" ht="24" customHeight="1">
      <x:c r="A46" s="2"/>
      <x:c r="B46" s="2"/>
    </x:row>
  </x:sheetData>
  <x:pageMargins left="0.7" right="0.7" top="0.75" bottom="0.75" header="0.3" footer="0.3"/>
  <x:tableParts count="1">
    <x:tablePart xmlns:r="http://schemas.openxmlformats.org/officeDocument/2006/relationships" r:id="Rae40d3b445f44935"/>
  </x:tableParts>
</x:worksheet>
</file>

<file path=xl/worksheets/sheet2.xml><?xml version="1.0" encoding="utf-8"?>
<x:worksheet xmlns:x="http://schemas.openxmlformats.org/spreadsheetml/2006/main">
  <x:sheetPr>
    <x:tabColor rgb="FF26374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13" hidden="0" customWidth="1"/>
    <x:col min="3" max="3" width="31" hidden="0" customWidth="1"/>
    <x:col min="4" max="4" width="35" hidden="0" customWidth="1"/>
    <x:col min="5" max="5" width="49" hidden="0" customWidth="1"/>
    <x:col min="6" max="6" width="15" hidden="0" customWidth="1"/>
    <x:col min="7" max="7" width="65" hidden="0" customWidth="1"/>
    <x:col min="8" max="8" width="5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33" customHeight="1">
      <x:c r="A2" s="3" t="str">
        <x:v>Data required for each insight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/>
      <x:c r="B3" s="2"/>
      <x:c r="C3" s="2"/>
      <x:c r="D3" s="2"/>
      <x:c r="E3" s="2"/>
      <x:c r="F3" s="2"/>
      <x:c r="G3" s="2"/>
      <x:c r="H3" s="2"/>
    </x:row>
    <x:row r="4" ht="24" customHeight="1">
      <x:c r="A4" s="4" t="str">
        <x:v>Each row states the minimum source data, the manual addition and what must remain unavailable when data is missing.</x:v>
      </x:c>
      <x:c r="B4" s="2"/>
      <x:c r="C4" s="2"/>
      <x:c r="D4" s="2"/>
      <x:c r="E4" s="2"/>
      <x:c r="F4" s="2"/>
      <x:c r="G4" s="2"/>
      <x:c r="H4" s="2"/>
    </x:row>
    <x:row r="5" ht="24" customHeight="1">
      <x:c r="A5" s="5" t="str">
        <x:v>Weekly reporting uses the latest dated ERP snapshot. Monthly equipment and department measures use the latest completed month, clearly labelled.</x:v>
      </x:c>
      <x:c r="B5" s="2"/>
      <x:c r="C5" s="2"/>
      <x:c r="D5" s="2"/>
      <x:c r="E5" s="2"/>
      <x:c r="F5" s="2"/>
      <x:c r="G5" s="2"/>
      <x:c r="H5" s="2"/>
    </x:row>
    <x:row r="6" ht="24" customHeight="1">
      <x:c r="A6" s="2"/>
      <x:c r="B6" s="2"/>
      <x:c r="C6" s="2"/>
      <x:c r="D6" s="2"/>
      <x:c r="E6" s="2"/>
      <x:c r="F6" s="2"/>
      <x:c r="G6" s="2"/>
      <x:c r="H6" s="2"/>
    </x:row>
    <x:row r="7" ht="24" customHeight="1">
      <x:c r="A7" s="2"/>
      <x:c r="B7" s="2"/>
      <x:c r="C7" s="2"/>
      <x:c r="D7" s="2"/>
      <x:c r="E7" s="2"/>
      <x:c r="F7" s="2"/>
      <x:c r="G7" s="2"/>
      <x:c r="H7" s="2"/>
    </x:row>
    <x:row r="8" ht="46" customHeight="1">
      <x:c r="A8" s="8" t="str">
        <x:v>Report ID</x:v>
      </x:c>
      <x:c r="B8" s="8" t="str">
        <x:v>Version</x:v>
      </x:c>
      <x:c r="C8" s="8" t="str">
        <x:v>Insight / report</x:v>
      </x:c>
      <x:c r="D8" s="8" t="str">
        <x:v>ERP inputs</x:v>
      </x:c>
      <x:c r="E8" s="8" t="str">
        <x:v>Manual inputs</x:v>
      </x:c>
      <x:c r="F8" s="8" t="str">
        <x:v>Report refresh</x:v>
      </x:c>
      <x:c r="G8" s="8" t="str">
        <x:v>Calculation / interpretation</x:v>
      </x:c>
      <x:c r="H8" s="8" t="str">
        <x:v>If required data is missing</x:v>
      </x:c>
    </x:row>
    <x:row r="9" ht="92" customHeight="1">
      <x:c r="A9" s="10" t="str">
        <x:v>B01</x:v>
      </x:c>
      <x:c r="B9" s="10" t="str">
        <x:v>Both</x:v>
      </x:c>
      <x:c r="C9" s="10" t="str">
        <x:v>Sales, gross profit and business mix</x:v>
      </x:c>
      <x:c r="D9" s="10" t="str">
        <x:v>E01 + E02 + E03</x:v>
      </x:c>
      <x:c r="E9" s="10" t="str">
        <x:v>BM2 only for missing category/unit links</x:v>
      </x:c>
      <x:c r="F9" s="10" t="str">
        <x:v>Weekly</x:v>
      </x:c>
      <x:c r="G9" s="10" t="str">
        <x:v>Net sales less product cost; gross margin = gross profit / sales. Returns use the agreed sign convention.</x:v>
      </x:c>
      <x:c r="H9" s="10" t="str">
        <x:v>Without product costs, show sales only; margin is unavailable.</x:v>
      </x:c>
    </x:row>
    <x:row r="10" ht="92" customHeight="1">
      <x:c r="A10" s="11" t="str">
        <x:v>B02</x:v>
      </x:c>
      <x:c r="B10" s="11" t="str">
        <x:v>Both</x:v>
      </x:c>
      <x:c r="C10" s="11" t="str">
        <x:v>Cash collected and overdue balances</x:v>
      </x:c>
      <x:c r="D10" s="11" t="str">
        <x:v>E02 + E04 + E05</x:v>
      </x:c>
      <x:c r="E10" s="11" t="str">
        <x:v>BW1: promised amounts/dates, owner and next action</x:v>
      </x:c>
      <x:c r="F10" s="11" t="str">
        <x:v>Weekly</x:v>
      </x:c>
      <x:c r="G10" s="11" t="str">
        <x:v>Sum receipts by receipt date. Age remaining invoices from contractual due date at the snapshot date.</x:v>
      </x:c>
      <x:c r="H10" s="11" t="str">
        <x:v>No receipts = no cash-collected figure. Unallocated cash stays separate; no cash/revenue conversion ratio.</x:v>
      </x:c>
    </x:row>
    <x:row r="11" ht="92" customHeight="1">
      <x:c r="A11" s="10" t="str">
        <x:v>B03</x:v>
      </x:c>
      <x:c r="B11" s="10" t="str">
        <x:v>Both</x:v>
      </x:c>
      <x:c r="C11" s="10" t="str">
        <x:v>Stock value by product and batch</x:v>
      </x:c>
      <x:c r="D11" s="10" t="str">
        <x:v>E01 + E06</x:v>
      </x:c>
      <x:c r="E11" s="10" t="str">
        <x:v>BW2 only for missing batch/location/quantity fields</x:v>
      </x:c>
      <x:c r="F11" s="10" t="str">
        <x:v>Weekly</x:v>
      </x:c>
      <x:c r="G11" s="10" t="str">
        <x:v>Owned stock quantity x unit cost at one snapshot date. Use one counting unit.</x:v>
      </x:c>
      <x:c r="H11" s="10" t="str">
        <x:v>Missing batch or cost prevents the corresponding batch value; do not add snapshots together.</x:v>
      </x:c>
    </x:row>
    <x:row r="12" ht="92" customHeight="1">
      <x:c r="A12" s="11" t="str">
        <x:v>B04</x:v>
      </x:c>
      <x:c r="B12" s="11" t="str">
        <x:v>Both</x:v>
      </x:c>
      <x:c r="C12" s="11" t="str">
        <x:v>Expiry, slow stock and reorder flags</x:v>
      </x:c>
      <x:c r="D12" s="11" t="str">
        <x:v>E01 + E06 + E07</x:v>
      </x:c>
      <x:c r="E12" s="11" t="str">
        <x:v>BW2: missing expiry; BM2: lead time, safety buffer and alert rules</x:v>
      </x:c>
      <x:c r="F12" s="11" t="str">
        <x:v>Weekly</x:v>
      </x:c>
      <x:c r="G12" s="11" t="str">
        <x:v>Stock days = quantity / daily issues. Forecast expiry by allocating demand to earliest-expiring batches first.</x:v>
      </x:c>
      <x:c r="H12" s="11" t="str">
        <x:v>No expiry = no expiry estimate. No demand baseline = stock value only. Loss estimates and slow stock overlap.</x:v>
      </x:c>
    </x:row>
    <x:row r="13" ht="92" customHeight="1">
      <x:c r="A13" s="10" t="str">
        <x:v>B05</x:v>
      </x:c>
      <x:c r="B13" s="10" t="str">
        <x:v>Both</x:v>
      </x:c>
      <x:c r="C13" s="10" t="str">
        <x:v>Management actions and promises</x:v>
      </x:c>
      <x:c r="D13" s="10" t="str">
        <x:v>E02 + E05 for customer and balance links</x:v>
      </x:c>
      <x:c r="E13" s="10" t="str">
        <x:v>BW1: action, owner, due date, status and promise details</x:v>
      </x:c>
      <x:c r="F13" s="10" t="str">
        <x:v>Weekly</x:v>
      </x:c>
      <x:c r="G13" s="10" t="str">
        <x:v>Open actions and due dates; confirm promised receipts in E04 before marking a collection complete.</x:v>
      </x:c>
      <x:c r="H13" s="10" t="str">
        <x:v>An action marked complete does not establish recovered sales or savings.</x:v>
      </x:c>
    </x:row>
    <x:row r="14" ht="92" customHeight="1">
      <x:c r="A14" s="11" t="str">
        <x:v>B06</x:v>
      </x:c>
      <x:c r="B14" s="11" t="str">
        <x:v>Both</x:v>
      </x:c>
      <x:c r="C14" s="11" t="str">
        <x:v>Targets versus results (useful addition)</x:v>
      </x:c>
      <x:c r="D14" s="11" t="str">
        <x:v>E01 + E03 + E04</x:v>
      </x:c>
      <x:c r="E14" s="11" t="str">
        <x:v>BM1: category/company sales, margin and cash targets</x:v>
      </x:c>
      <x:c r="F14" s="11" t="str">
        <x:v>Monthly</x:v>
      </x:c>
      <x:c r="G14" s="11" t="str">
        <x:v>Compare the same month and category. Do not combine an All-company target with its category targets.</x:v>
      </x:c>
      <x:c r="H14" s="11" t="str">
        <x:v>Targets are optional. This comparison is a proposed addition, not a live calculation in the current demo.</x:v>
      </x:c>
    </x:row>
    <x:row r="15" ht="92" customHeight="1">
      <x:c r="A15" s="10" t="str">
        <x:v>A01</x:v>
      </x:c>
      <x:c r="B15" s="10" t="str">
        <x:v>Advanced</x:v>
      </x:c>
      <x:c r="C15" s="10" t="str">
        <x:v>Profit after delivery / project costs</x:v>
      </x:c>
      <x:c r="D15" s="10" t="str">
        <x:v>E03 + E09; E01 for category</x:v>
      </x:c>
      <x:c r="E15" s="10" t="str">
        <x:v>AM4: only missing costs or assignments</x:v>
      </x:c>
      <x:c r="F15" s="10" t="str">
        <x:v>Monthly</x:v>
      </x:c>
      <x:c r="G15" s="10" t="str">
        <x:v>Net sales - product cost - assigned actual direct costs not already in product cost. Estimates remain separate.</x:v>
      </x:c>
      <x:c r="H15" s="10" t="str">
        <x:v>Incomplete costs mean incomplete contribution. This is not company net profit or a cash forecast.</x:v>
      </x:c>
    </x:row>
    <x:row r="16" ht="92" customHeight="1">
      <x:c r="A16" s="11" t="str">
        <x:v>A02</x:v>
      </x:c>
      <x:c r="B16" s="11" t="str">
        <x:v>Advanced</x:v>
      </x:c>
      <x:c r="C16" s="11" t="str">
        <x:v>Tender stages, deadlines and planned profit</x:v>
      </x:c>
      <x:c r="D16" s="11" t="str">
        <x:v>E10 when available; E03/E05 once invoiced</x:v>
      </x:c>
      <x:c r="E16" s="11" t="str">
        <x:v>AW1: scope, stage, value, full cost estimate and next event</x:v>
      </x:c>
      <x:c r="F16" s="11" t="str">
        <x:v>Weekly</x:v>
      </x:c>
      <x:c r="G16" s="11" t="str">
        <x:v>Planned profit = tender value - full planned direct cost. Weighted margin = total planned profit / total value.</x:v>
      </x:c>
      <x:c r="H16" s="11" t="str">
        <x:v>A won tender is not recorded revenue. Missing full cost means planned profit is unavailable.</x:v>
      </x:c>
    </x:row>
    <x:row r="17" ht="92" customHeight="1">
      <x:c r="A17" s="10" t="str">
        <x:v>A03</x:v>
      </x:c>
      <x:c r="B17" s="10" t="str">
        <x:v>Advanced</x:v>
      </x:c>
      <x:c r="C17" s="10" t="str">
        <x:v>Installed units, warranties and agreements</x:v>
      </x:c>
      <x:c r="D17" s="10" t="str">
        <x:v>E01 + E02 + E11 when available</x:v>
      </x:c>
      <x:c r="E17" s="10" t="str">
        <x:v>AM1: unit status, installation, warranty and agreement dates</x:v>
      </x:c>
      <x:c r="F17" s="10" t="str">
        <x:v>Monthly</x:v>
      </x:c>
      <x:c r="G17" s="10" t="str">
        <x:v>Count active units once. Coverage includes contracts active at report date, including those due for renewal.</x:v>
      </x:c>
      <x:c r="H17" s="10" t="str">
        <x:v>Unknown contract status is not No contract. Missing installation date prevents an age-review flag.</x:v>
      </x:c>
    </x:row>
    <x:row r="18" ht="92" customHeight="1">
      <x:c r="A18" s="11" t="str">
        <x:v>A04</x:v>
      </x:c>
      <x:c r="B18" s="11" t="str">
        <x:v>Advanced</x:v>
      </x:c>
      <x:c r="C18" s="11" t="str">
        <x:v>Repeat consumable purchases and purchasing gap</x:v>
      </x:c>
      <x:c r="D18" s="11" t="str">
        <x:v>E03 + E01 + E02</x:v>
      </x:c>
      <x:c r="E18" s="11" t="str">
        <x:v>AM1 + AM2 + AM3: unit links, approved usage rule, activity, stock and source</x:v>
      </x:c>
      <x:c r="F18" s="11" t="str">
        <x:v>Monthly</x:v>
      </x:c>
      <x:c r="G18" s="11" t="str">
        <x:v>Estimated quantity = activity x consumables/activity. Compare purchases in the same period, unit and price basis.</x:v>
      </x:c>
      <x:c r="H18" s="11" t="str">
        <x:v>Allocate each sale once. Without unit attribution, report customer totals or clearly labelled allocations; retain unclassified sales.</x:v>
      </x:c>
    </x:row>
    <x:row r="19" ht="92" customHeight="1">
      <x:c r="A19" s="10" t="str">
        <x:v>A05</x:v>
      </x:c>
      <x:c r="B19" s="10" t="str">
        <x:v>Advanced</x:v>
      </x:c>
      <x:c r="C19" s="10" t="str">
        <x:v>Equipment-use rate</x:v>
      </x:c>
      <x:c r="D19" s="10" t="str">
        <x:v>E11 if measured in an operating system</x:v>
      </x:c>
      <x:c r="E19" s="10" t="str">
        <x:v>AM3: activity count and practical capacity in the same unit; AM2 activity definition</x:v>
      </x:c>
      <x:c r="F19" s="10" t="str">
        <x:v>Monthly</x:v>
      </x:c>
      <x:c r="G19" s="10" t="str">
        <x:v>Equipment use = actual activity / practical capacity for the same month. Count each unit once if it uses several consumables.</x:v>
      </x:c>
      <x:c r="H19" s="10" t="str">
        <x:v>No denominator = no utilization %. Equipment use is not uptime.</x:v>
      </x:c>
    </x:row>
    <x:row r="20" ht="92" customHeight="1">
      <x:c r="A20" s="11" t="str">
        <x:v>A06</x:v>
      </x:c>
      <x:c r="B20" s="11" t="str">
        <x:v>Advanced</x:v>
      </x:c>
      <x:c r="C20" s="11" t="str">
        <x:v>Delivery reliability and urgent freight</x:v>
      </x:c>
      <x:c r="D20" s="11" t="str">
        <x:v>E08 + E09</x:v>
      </x:c>
      <x:c r="E20" s="11" t="str">
        <x:v>AW2 only for delivery gaps; AM4 for missing urgent freight</x:v>
      </x:c>
      <x:c r="F20" s="11" t="str">
        <x:v>Monthly</x:v>
      </x:c>
      <x:c r="G20" s="11" t="str">
        <x:v>On-time % = fully completed on/before promise / all deliveries due in month, including overdue open items. Inbound and outbound stay separate.</x:v>
      </x:c>
      <x:c r="H20" s="11" t="str">
        <x:v>Exception-only records understate the denominator. Stock backorders are distinct from late delivery counts.</x:v>
      </x:c>
    </x:row>
    <x:row r="21" ht="92" customHeight="1">
      <x:c r="A21" s="10" t="str">
        <x:v>A07</x:v>
      </x:c>
      <x:c r="B21" s="10" t="str">
        <x:v>Advanced</x:v>
      </x:c>
      <x:c r="C21" s="10" t="str">
        <x:v>Support response, document quality and vacancies</x:v>
      </x:c>
      <x:c r="D21" s="10" t="str">
        <x:v>E12 + E13 if available</x:v>
      </x:c>
      <x:c r="E21" s="10" t="str">
        <x:v>AM5: confirmed numerator/denominator or vacancy days, target and evidence</x:v>
      </x:c>
      <x:c r="F21" s="10" t="str">
        <x:v>Monthly</x:v>
      </x:c>
      <x:c r="G21" s="10" t="str">
        <x:v>Response % uses cases opened in month; document % uses first reviews in month. Vacancy measure is oldest critical open-role age at month end.</x:v>
      </x:c>
      <x:c r="H21" s="10" t="str">
        <x:v>Use counts and a defined period, not an unsupported percentage. Keep response-time and working-hours definitions consistent.</x:v>
      </x:c>
    </x:row>
    <x:row r="22" ht="92" customHeight="1">
      <x:c r="A22" s="11" t="str">
        <x:v>A08</x:v>
      </x:c>
      <x:c r="B22" s="11" t="str">
        <x:v>Advanced</x:v>
      </x:c>
      <x:c r="C22" s="11" t="str">
        <x:v>Growth signals and repeat-order scenario</x:v>
      </x:c>
      <x:c r="D22" s="11" t="str">
        <x:v>Inputs for A03 + A04; E10 for confirmed opportunities</x:v>
      </x:c>
      <x:c r="E22" s="11" t="str">
        <x:v>BM2: recovery share, contribution margin, renewal window and age-review threshold</x:v>
      </x:c>
      <x:c r="F22" s="11" t="str">
        <x:v>Monthly</x:v>
      </x:c>
      <x:c r="G22" s="11" t="str">
        <x:v>Positive monthly gap x assumed share won x 12; extra profit = extra sales x assumed margin after direct costs.</x:v>
      </x:c>
      <x:c r="H22" s="11" t="str">
        <x:v>Gap, service and age signals are investigations, not confirmed sales. Do not add overlapping signals or promise replacement needs.</x:v>
      </x:c>
    </x:row>
    <x:row r="23" ht="92" customHeight="1">
      <x:c r="A23" s="10" t="str">
        <x:v>R01</x:v>
      </x:c>
      <x:c r="B23" s="10" t="str">
        <x:v>Both</x:v>
      </x:c>
      <x:c r="C23" s="10" t="str">
        <x:v>Product / supplier reference and company profile</x:v>
      </x:c>
      <x:c r="D23" s="10" t="str">
        <x:v>E01 plus the approved company profile</x:v>
      </x:c>
      <x:c r="E23" s="10" t="str">
        <x:v>BM2 only for missing master fields or current supplier-status confirmation</x:v>
      </x:c>
      <x:c r="F23" s="10" t="str">
        <x:v>Monthly</x:v>
      </x:c>
      <x:c r="G23" s="10" t="str">
        <x:v>Use a maintained product/supplier list. The supplied 2022 company profile is historical context.</x:v>
      </x:c>
      <x:c r="H23" s="10" t="str">
        <x:v>A historical supplier name does not confirm the current relationship. No recurring financial input is needed for static profile text.</x:v>
      </x:c>
    </x:row>
    <x:row r="24" ht="24" customHeight="1">
      <x:c r="A24" s="2"/>
      <x:c r="B24" s="2"/>
      <x:c r="C24" s="2"/>
      <x:c r="D24" s="2"/>
      <x:c r="E24" s="2"/>
      <x:c r="F24" s="2"/>
      <x:c r="G24" s="2"/>
      <x:c r="H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</x:row>
  </x:sheetData>
  <x:pageMargins left="0.7" right="0.7" top="0.75" bottom="0.75" header="0.3" footer="0.3"/>
  <x:tableParts count="1">
    <x:tablePart xmlns:r="http://schemas.openxmlformats.org/officeDocument/2006/relationships" r:id="R16847e6ab95649f6"/>
  </x:tableParts>
</x:worksheet>
</file>

<file path=xl/worksheets/sheet3.xml><?xml version="1.0" encoding="utf-8"?>
<x:worksheet xmlns:x="http://schemas.openxmlformats.org/spreadsheetml/2006/main">
  <x:sheetPr>
    <x:tabColor rgb="FFB9A98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13" hidden="0" customWidth="1"/>
    <x:col min="3" max="3" width="29" hidden="0" customWidth="1"/>
    <x:col min="4" max="4" width="77" hidden="0" customWidth="1"/>
    <x:col min="5" max="5" width="15" hidden="0" customWidth="1"/>
    <x:col min="6" max="6" width="25" hidden="0" customWidth="1"/>
    <x:col min="7" max="7" width="20" hidden="0" customWidth="1"/>
    <x:col min="8" max="8" width="4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33" customHeight="1">
      <x:c r="A2" s="3" t="str">
        <x:v>What Alpha ERP should provide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/>
      <x:c r="B3" s="2"/>
      <x:c r="C3" s="2"/>
      <x:c r="D3" s="2"/>
      <x:c r="E3" s="2"/>
      <x:c r="F3" s="2"/>
      <x:c r="G3" s="2"/>
      <x:c r="H3" s="2"/>
    </x:row>
    <x:row r="4" ht="24" customHeight="1">
      <x:c r="A4" s="4" t="str">
        <x:v>The accountant checks actual export availability. These are required business fields, not verified native Alpha column names.</x:v>
      </x:c>
      <x:c r="B4" s="2"/>
      <x:c r="C4" s="2"/>
      <x:c r="D4" s="2"/>
      <x:c r="E4" s="2"/>
      <x:c r="F4" s="2"/>
      <x:c r="G4" s="2"/>
      <x:c r="H4" s="2"/>
    </x:row>
    <x:row r="5" ht="24" customHeight="1">
      <x:c r="A5" s="5" t="str">
        <x:v>Edit only the last two columns. E01–E07 support Basic; E08–E09 add Advanced accounting data. E10–E13 are optional import routes.</x:v>
      </x:c>
      <x:c r="B5" s="2"/>
      <x:c r="C5" s="2"/>
      <x:c r="D5" s="2"/>
      <x:c r="E5" s="2"/>
      <x:c r="F5" s="2"/>
      <x:c r="G5" s="2"/>
      <x:c r="H5" s="2"/>
    </x:row>
    <x:row r="6" ht="24" customHeight="1">
      <x:c r="A6" s="2"/>
      <x:c r="B6" s="2"/>
      <x:c r="C6" s="2"/>
      <x:c r="D6" s="2"/>
      <x:c r="E6" s="2"/>
      <x:c r="F6" s="2"/>
      <x:c r="G6" s="2"/>
      <x:c r="H6" s="2"/>
    </x:row>
    <x:row r="7" ht="24" customHeight="1">
      <x:c r="A7" s="2"/>
      <x:c r="B7" s="2"/>
      <x:c r="C7" s="2"/>
      <x:c r="D7" s="2"/>
      <x:c r="E7" s="2"/>
      <x:c r="F7" s="2"/>
      <x:c r="G7" s="2"/>
      <x:c r="H7" s="2"/>
    </x:row>
    <x:row r="8" ht="46" customHeight="1">
      <x:c r="A8" s="8" t="str">
        <x:v>ID</x:v>
      </x:c>
      <x:c r="B8" s="8" t="str">
        <x:v>Version</x:v>
      </x:c>
      <x:c r="C8" s="8" t="str">
        <x:v>Data file / report</x:v>
      </x:c>
      <x:c r="D8" s="8" t="str">
        <x:v>Minimum fields needed</x:v>
      </x:c>
      <x:c r="E8" s="8" t="str">
        <x:v>Refresh</x:v>
      </x:c>
      <x:c r="F8" s="8" t="str">
        <x:v>Responsible role</x:v>
      </x:c>
      <x:c r="G8" s="8" t="str">
        <x:v>Availability</x:v>
      </x:c>
      <x:c r="H8" s="8" t="str">
        <x:v>Alpha report name / missing fields</x:v>
      </x:c>
    </x:row>
    <x:row r="9" ht="88" customHeight="1">
      <x:c r="A9" s="10" t="str">
        <x:v>E01</x:v>
      </x:c>
      <x:c r="B9" s="10" t="str">
        <x:v>Both</x:v>
      </x:c>
      <x:c r="C9" s="10" t="str">
        <x:v>Product and supplier list</x:v>
      </x:c>
      <x:c r="D9" s="10" t="str">
        <x:v>Product code; product name; category (Equipment / Devices / Consumables); manufacturer; supplier code/name; counting unit; pack conversion; expiry tracked Yes/No.</x:v>
      </x:c>
      <x:c r="E9" s="10" t="str">
        <x:v>Monthly</x:v>
      </x:c>
      <x:c r="F9" s="10" t="str">
        <x:v>Accountant + product manager</x:v>
      </x:c>
      <x:c r="G9" s="12" t="str">
        <x:v>Not checked</x:v>
      </x:c>
      <x:c r="H9" s="12" t="str"/>
    </x:row>
    <x:row r="10" ht="88" customHeight="1">
      <x:c r="A10" s="11" t="str">
        <x:v>E02</x:v>
      </x:c>
      <x:c r="B10" s="11" t="str">
        <x:v>Both</x:v>
      </x:c>
      <x:c r="C10" s="11" t="str">
        <x:v>Customer list</x:v>
      </x:c>
      <x:c r="D10" s="11" t="str">
        <x:v>Customer code/name; city; customer type; payment terms; account owner. Stable codes must match invoices and equipment.</x:v>
      </x:c>
      <x:c r="E10" s="11" t="str">
        <x:v>Monthly</x:v>
      </x:c>
      <x:c r="F10" s="11" t="str">
        <x:v>Accountant + sales manager</x:v>
      </x:c>
      <x:c r="G10" s="12" t="str">
        <x:v>Not checked</x:v>
      </x:c>
      <x:c r="H10" s="12" t="str"/>
    </x:row>
    <x:row r="11" ht="88" customHeight="1">
      <x:c r="A11" s="10" t="str">
        <x:v>E03</x:v>
      </x:c>
      <x:c r="B11" s="10" t="str">
        <x:v>Both</x:v>
      </x:c>
      <x:c r="C11" s="10" t="str">
        <x:v>Sales and returns</x:v>
      </x:c>
      <x:c r="D11" s="10" t="str">
        <x:v>Invoice and line IDs; date/type; customer; product; signed quantity, net sales and product cost JOD excluding tax. Project/order link is required for project profit; unit link when available. Keep returns/credits.</x:v>
      </x:c>
      <x:c r="E11" s="10" t="str">
        <x:v>Weekly</x:v>
      </x:c>
      <x:c r="F11" s="10" t="str">
        <x:v>Accountant</x:v>
      </x:c>
      <x:c r="G11" s="12" t="str">
        <x:v>Not checked</x:v>
      </x:c>
      <x:c r="H11" s="12" t="str"/>
    </x:row>
    <x:row r="12" ht="88" customHeight="1">
      <x:c r="A12" s="11" t="str">
        <x:v>E04</x:v>
      </x:c>
      <x:c r="B12" s="11" t="str">
        <x:v>Both</x:v>
      </x:c>
      <x:c r="C12" s="11" t="str">
        <x:v>Customer receipts</x:v>
      </x:c>
      <x:c r="D12" s="11" t="str">
        <x:v>Receipt ID; allocation row ID; receipt date; customer; invoice/line link where available; allocated JOD. Include unapplied cash once. Allocation rows must add to the receipt total.</x:v>
      </x:c>
      <x:c r="E12" s="11" t="str">
        <x:v>Weekly</x:v>
      </x:c>
      <x:c r="F12" s="11" t="str">
        <x:v>Accountant</x:v>
      </x:c>
      <x:c r="G12" s="12" t="str">
        <x:v>Not checked</x:v>
      </x:c>
      <x:c r="H12" s="12" t="str"/>
    </x:row>
    <x:row r="13" ht="88" customHeight="1">
      <x:c r="A13" s="10" t="str">
        <x:v>E05</x:v>
      </x:c>
      <x:c r="B13" s="10" t="str">
        <x:v>Both</x:v>
      </x:c>
      <x:c r="C13" s="10" t="str">
        <x:v>Unpaid invoices</x:v>
      </x:c>
      <x:c r="D13" s="10" t="str">
        <x:v>Snapshot date; invoice ID; customer; invoice date; contractual due date; remaining amount JOD; account owner. Replace a snapshot, do not add successive balances.</x:v>
      </x:c>
      <x:c r="E13" s="10" t="str">
        <x:v>Weekly</x:v>
      </x:c>
      <x:c r="F13" s="10" t="str">
        <x:v>Accountant</x:v>
      </x:c>
      <x:c r="G13" s="12" t="str">
        <x:v>Not checked</x:v>
      </x:c>
      <x:c r="H13" s="12" t="str"/>
    </x:row>
    <x:row r="14" ht="88" customHeight="1">
      <x:c r="A14" s="11" t="str">
        <x:v>E06</x:v>
      </x:c>
      <x:c r="B14" s="11" t="str">
        <x:v>Both</x:v>
      </x:c>
      <x:c r="C14" s="11" t="str">
        <x:v>Stock by batch</x:v>
      </x:c>
      <x:c r="D14" s="11" t="str">
        <x:v>Snapshot date; product; warehouse; batch; quantity; counting unit; unit cost; expiry date; ownership. Exclude or separately value stock not owned by Sadaf.</x:v>
      </x:c>
      <x:c r="E14" s="11" t="str">
        <x:v>Weekly</x:v>
      </x:c>
      <x:c r="F14" s="11" t="str">
        <x:v>Warehouse + accountant</x:v>
      </x:c>
      <x:c r="G14" s="12" t="str">
        <x:v>Not checked</x:v>
      </x:c>
      <x:c r="H14" s="12" t="str"/>
    </x:row>
    <x:row r="15" ht="88" customHeight="1">
      <x:c r="A15" s="10" t="str">
        <x:v>E07</x:v>
      </x:c>
      <x:c r="B15" s="10" t="str">
        <x:v>Both</x:v>
      </x:c>
      <x:c r="C15" s="10" t="str">
        <x:v>Stock transaction history</x:v>
      </x:c>
      <x:c r="D15" s="10" t="str">
        <x:v>Unique transaction ID; date; product/batch/warehouse; transaction type; signed quantity; counting unit. Separate customer issues, returns, transfers and adjustments.</x:v>
      </x:c>
      <x:c r="E15" s="10" t="str">
        <x:v>Weekly</x:v>
      </x:c>
      <x:c r="F15" s="10" t="str">
        <x:v>Warehouse + accountant</x:v>
      </x:c>
      <x:c r="G15" s="12" t="str">
        <x:v>Not checked</x:v>
      </x:c>
      <x:c r="H15" s="12" t="str"/>
    </x:row>
    <x:row r="16" ht="88" customHeight="1">
      <x:c r="A16" s="11" t="str">
        <x:v>E08</x:v>
      </x:c>
      <x:c r="B16" s="11" t="str">
        <x:v>Advanced</x:v>
      </x:c>
      <x:c r="C16" s="11" t="str">
        <x:v>Supplier and customer deliveries</x:v>
      </x:c>
      <x:c r="D16" s="11" t="str">
        <x:v>Delivery/PO line ID; inbound/outbound; supplier/customer; product/category; promised completion date; actual full completion date; outstanding quantity; status; snapshot date. Keep overdue open deliveries.</x:v>
      </x:c>
      <x:c r="E16" s="11" t="str">
        <x:v>Weekly</x:v>
      </x:c>
      <x:c r="F16" s="11" t="str">
        <x:v>Purchasing + logistics</x:v>
      </x:c>
      <x:c r="G16" s="12" t="str">
        <x:v>Not checked</x:v>
      </x:c>
      <x:c r="H16" s="12" t="str"/>
    </x:row>
    <x:row r="17" ht="88" customHeight="1">
      <x:c r="A17" s="10" t="str">
        <x:v>E09</x:v>
      </x:c>
      <x:c r="B17" s="10" t="str">
        <x:v>Advanced</x:v>
      </x:c>
      <x:c r="C17" s="10" t="str">
        <x:v>Direct project costs</x:v>
      </x:c>
      <x:c r="D17" s="10" t="str">
        <x:v>Unique cost line/reference; date; project/order; product category; cost type; amount JOD; Actual or Estimate; whether already included in product cost. Identify urgent freight.</x:v>
      </x:c>
      <x:c r="E17" s="10" t="str">
        <x:v>Monthly</x:v>
      </x:c>
      <x:c r="F17" s="10" t="str">
        <x:v>Accountant</x:v>
      </x:c>
      <x:c r="G17" s="12" t="str">
        <x:v>Not checked</x:v>
      </x:c>
      <x:c r="H17" s="12" t="str"/>
    </x:row>
    <x:row r="18" ht="88" customHeight="1">
      <x:c r="A18" s="11" t="str">
        <x:v>E10</x:v>
      </x:c>
      <x:c r="B18" s="11" t="str">
        <x:v>Advanced</x:v>
      </x:c>
      <x:c r="C18" s="11" t="str">
        <x:v>Quotes / tenders if recorded</x:v>
      </x:c>
      <x:c r="D18" s="11" t="str">
        <x:v>Optional ERP/CRM route: supply the same fields as AW1. If unavailable, the commercial team maintains AW1 manually.</x:v>
      </x:c>
      <x:c r="E18" s="11" t="str">
        <x:v>Weekly</x:v>
      </x:c>
      <x:c r="F18" s="11" t="str">
        <x:v>Sales + tender team</x:v>
      </x:c>
      <x:c r="G18" s="12" t="str">
        <x:v>Not checked</x:v>
      </x:c>
      <x:c r="H18" s="12" t="str"/>
    </x:row>
    <x:row r="19" ht="88" customHeight="1">
      <x:c r="A19" s="10" t="str">
        <x:v>E11</x:v>
      </x:c>
      <x:c r="B19" s="10" t="str">
        <x:v>Advanced</x:v>
      </x:c>
      <x:c r="C19" s="10" t="str">
        <x:v>Equipment / agreements if recorded</x:v>
      </x:c>
      <x:c r="D19" s="10" t="str">
        <x:v>Optional ERP/service-system route: supply the AM1 unit, installation, warranty and agreement fields. Otherwise maintain AM1 manually.</x:v>
      </x:c>
      <x:c r="E19" s="10" t="str">
        <x:v>Monthly</x:v>
      </x:c>
      <x:c r="F19" s="10" t="str">
        <x:v>Service manager</x:v>
      </x:c>
      <x:c r="G19" s="12" t="str">
        <x:v>Not checked</x:v>
      </x:c>
      <x:c r="H19" s="12" t="str"/>
    </x:row>
    <x:row r="20" ht="88" customHeight="1">
      <x:c r="A20" s="11" t="str">
        <x:v>E12</x:v>
      </x:c>
      <x:c r="B20" s="11" t="str">
        <x:v>Advanced</x:v>
      </x:c>
      <x:c r="C20" s="11" t="str">
        <x:v>Support cases if recorded</x:v>
      </x:c>
      <x:c r="D20" s="11" t="str">
        <x:v>Optional route: case ID; opened/first response/closed times; response-time target; calendar or business-hour rule. Calculate AM5 counts from the source instead of retyping them.</x:v>
      </x:c>
      <x:c r="E20" s="11" t="str">
        <x:v>Monthly</x:v>
      </x:c>
      <x:c r="F20" s="11" t="str">
        <x:v>Service manager</x:v>
      </x:c>
      <x:c r="G20" s="12" t="str">
        <x:v>Not checked</x:v>
      </x:c>
      <x:c r="H20" s="12" t="str"/>
    </x:row>
    <x:row r="21" ht="88" customHeight="1">
      <x:c r="A21" s="10" t="str">
        <x:v>E13</x:v>
      </x:c>
      <x:c r="B21" s="10" t="str">
        <x:v>Advanced</x:v>
      </x:c>
      <x:c r="C21" s="10" t="str">
        <x:v>HR / document checks if recorded</x:v>
      </x:c>
      <x:c r="D21" s="10" t="str">
        <x:v>Optional route: critical vacancy opened/filled dates and critical flag; tender review ID/date and complete-at-first-review result. Otherwise submit confirmed monthly AM5 totals.</x:v>
      </x:c>
      <x:c r="E21" s="10" t="str">
        <x:v>Monthly</x:v>
      </x:c>
      <x:c r="F21" s="10" t="str">
        <x:v>HR + tender manager</x:v>
      </x:c>
      <x:c r="G21" s="12" t="str">
        <x:v>Not checked</x:v>
      </x:c>
      <x:c r="H21" s="12" t="str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</x:row>
    <x:row r="24" ht="24" customHeight="1">
      <x:c r="A24" s="5" t="str">
        <x:v>Partial or Unavailable: identify the exact missing fields. Use a manual table only for those gaps. Do not recreate the entire ERP dataset.</x:v>
      </x:c>
      <x:c r="B24" s="2"/>
      <x:c r="C24" s="2"/>
      <x:c r="D24" s="2"/>
      <x:c r="E24" s="2"/>
      <x:c r="F24" s="2"/>
      <x:c r="G24" s="2"/>
      <x:c r="H24" s="2"/>
    </x:row>
    <x:row r="25" ht="24" customHeight="1">
      <x:c r="A25" s="5" t="str">
        <x:v>Receipt totals are essential for cash collected. Invoice totals and unpaid balances cannot replace a receipts ledger.</x:v>
      </x:c>
      <x:c r="B25" s="2"/>
      <x:c r="C25" s="2"/>
      <x:c r="D25" s="2"/>
      <x:c r="E25" s="2"/>
      <x:c r="F25" s="2"/>
      <x:c r="G25" s="2"/>
      <x:c r="H25" s="2"/>
    </x:row>
    <x:row r="26" ht="24" customHeight="1">
      <x:c r="A26" s="5" t="str">
        <x:v>Category-level cash requires invoice-line allocation or an agreed allocation rule. Show unallocated cash separately.</x:v>
      </x:c>
      <x:c r="B26" s="2"/>
      <x:c r="C26" s="2"/>
      <x:c r="D26" s="2"/>
      <x:c r="E26" s="2"/>
      <x:c r="F26" s="2"/>
      <x:c r="G26" s="2"/>
      <x:c r="H26" s="2"/>
    </x:row>
    <x:row r="27" ht="24" customHeight="1">
      <x:c r="A27" s="5" t="str">
        <x:v>First monthly cycle: retain current-year history and at least three complete months of stock issues for a simple demand baseline.</x:v>
      </x:c>
      <x:c r="B27" s="2"/>
      <x:c r="C27" s="2"/>
      <x:c r="D27" s="2"/>
      <x:c r="E27" s="2"/>
      <x:c r="F27" s="2"/>
      <x:c r="G27" s="2"/>
      <x:c r="H27" s="2"/>
    </x:row>
    <x:row r="28" ht="24" customHeight="1">
      <x:c r="A28" s="5" t="str">
        <x:v>Weekly updates keep original transaction dates and unique IDs. Monthly review reconciles sales, costs, cash, balances and stock to Alpha.</x:v>
      </x:c>
      <x:c r="B28" s="2"/>
      <x:c r="C28" s="2"/>
      <x:c r="D28" s="2"/>
      <x:c r="E28" s="2"/>
      <x:c r="F28" s="2"/>
      <x:c r="G28" s="2"/>
      <x:c r="H28" s="2"/>
    </x:row>
    <x:row r="29" ht="24" customHeight="1">
      <x:c r="A29" s="5" t="str">
        <x:v>E08 fallback: use AW2 for every delivery due in the month when the ERP list is absent. A list of delays alone cannot give an on-time percentage.</x:v>
      </x:c>
      <x:c r="B29" s="2"/>
      <x:c r="C29" s="2"/>
      <x:c r="D29" s="2"/>
      <x:c r="E29" s="2"/>
      <x:c r="F29" s="2"/>
      <x:c r="G29" s="2"/>
      <x:c r="H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</x:row>
  </x:sheetData>
  <x:dataValidations count="1">
    <x:dataValidation type="list" sqref="G9:G21">
      <x:formula1>"Not checked,Available,Partial,Unavailable,Other system"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d943cfab98452a"/>
  </x:tableParts>
</x:worksheet>
</file>

<file path=xl/worksheets/sheet4.xml><?xml version="1.0" encoding="utf-8"?>
<x:worksheet xmlns:x="http://schemas.openxmlformats.org/spreadsheetml/2006/main">
  <x:sheetPr>
    <x:tabColor rgb="FF42668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43" hidden="0" customWidth="1"/>
    <x:col min="5" max="5" width="23" hidden="0" customWidth="1"/>
    <x:col min="6" max="6" width="20" hidden="0" customWidth="1"/>
    <x:col min="7" max="7" width="21" hidden="0" customWidth="1"/>
    <x:col min="8" max="8" width="22" hidden="0" customWidth="1"/>
    <x:col min="9" max="9" width="2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3" customHeight="1">
      <x:c r="A2" s="3" t="str">
        <x:v>Basic: weekly manual inputs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4" customHeight="1">
      <x:c r="A4" s="4" t="str">
        <x:v>One weekly review. Enter only new or changed records and any fields missing from Alpha.</x:v>
      </x:c>
      <x:c r="B4" s="2"/>
      <x:c r="C4" s="2"/>
      <x:c r="D4" s="2"/>
      <x:c r="E4" s="2"/>
      <x:c r="F4" s="2"/>
      <x:c r="G4" s="2"/>
      <x:c r="H4" s="2"/>
      <x:c r="I4" s="2"/>
    </x:row>
    <x:row r="5" ht="24" customHeight="1">
      <x:c r="A5" s="5" t="str">
        <x:v>Blue rows are fictional examples; clear them before real use. Yellow = manual entry. Grey = conditional fields.</x:v>
      </x:c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30" customHeight="1">
      <x:c r="A7" s="14" t="str">
        <x:v>BW1. Actions and payment promises</x:v>
      </x:c>
      <x:c r="B7" s="13"/>
      <x:c r="C7" s="13"/>
      <x:c r="D7" s="13"/>
      <x:c r="E7" s="13"/>
      <x:c r="F7" s="13"/>
      <x:c r="G7" s="13"/>
      <x:c r="H7" s="13"/>
      <x:c r="I7" s="13"/>
    </x:row>
    <x:row r="8" ht="24" customHeight="1">
      <x:c r="A8" s="5" t="str">
        <x:v>MANUAL. One row per action code. Update the same row weekly. Promise amount/date are used only for collection promises.</x:v>
      </x:c>
      <x:c r="B8" s="2"/>
      <x:c r="C8" s="2"/>
      <x:c r="D8" s="2"/>
      <x:c r="E8" s="2"/>
      <x:c r="F8" s="2"/>
      <x:c r="G8" s="2"/>
      <x:c r="H8" s="2"/>
      <x:c r="I8" s="2"/>
    </x:row>
    <x:row r="9" ht="24" customHeight="1">
      <x:c r="A9" s="5" t="str">
        <x:v>Updated by: Accountant / sales owner. Review weekly; carry forward unchanged records.</x:v>
      </x:c>
      <x:c r="B9" s="2"/>
      <x:c r="C9" s="2"/>
      <x:c r="D9" s="2"/>
      <x:c r="E9" s="2"/>
      <x:c r="F9" s="2"/>
      <x:c r="G9" s="2"/>
      <x:c r="H9" s="2"/>
      <x:c r="I9" s="2"/>
    </x:row>
    <x:row r="10" ht="58" customHeight="1">
      <x:c r="A10" s="15" t="str">
        <x:v>Review week ending</x:v>
      </x:c>
      <x:c r="B10" s="15" t="str">
        <x:v>Action code</x:v>
      </x:c>
      <x:c r="C10" s="15" t="str">
        <x:v>Customer / product / order code</x:v>
      </x:c>
      <x:c r="D10" s="15" t="str">
        <x:v>Next action</x:v>
      </x:c>
      <x:c r="E10" s="15" t="str">
        <x:v>Responsible person</x:v>
      </x:c>
      <x:c r="F10" s="15" t="str">
        <x:v>Action due date</x:v>
      </x:c>
      <x:c r="G10" s="15" t="str">
        <x:v>Status</x:v>
      </x:c>
      <x:c r="H10" s="15" t="str">
        <x:v>Promised amount (JOD)</x:v>
      </x:c>
      <x:c r="I10" s="15" t="str">
        <x:v>Promised payment date</x:v>
      </x:c>
    </x:row>
    <x:row r="11" ht="68" customHeight="1">
      <x:c r="A11" s="18" t="d">
        <x:v>2026-10-08T00:00:00.000Z</x:v>
      </x:c>
      <x:c r="B11" s="17" t="str">
        <x:v>DEMO-ACT-A</x:v>
      </x:c>
      <x:c r="C11" s="17" t="str">
        <x:v>DEMO-C001</x:v>
      </x:c>
      <x:c r="D11" s="17" t="str">
        <x:v>Confirm promised payment against DEMO-T-A</x:v>
      </x:c>
      <x:c r="E11" s="17" t="str">
        <x:v>Demo Ahmad</x:v>
      </x:c>
      <x:c r="F11" s="18" t="d">
        <x:v>2026-10-14T00:00:00.000Z</x:v>
      </x:c>
      <x:c r="G11" s="17" t="str">
        <x:v>Open</x:v>
      </x:c>
      <x:c r="H11" s="20" t="n">
        <x:v>7200</x:v>
      </x:c>
      <x:c r="I11" s="18" t="d">
        <x:v>2026-10-15T00:00:00.000Z</x:v>
      </x:c>
    </x:row>
    <x:row r="12" ht="68" customHeight="1">
      <x:c r="A12" s="18" t="d">
        <x:v>2026-10-08T00:00:00.000Z</x:v>
      </x:c>
      <x:c r="B12" s="17" t="str">
        <x:v>DEMO-ACT-B</x:v>
      </x:c>
      <x:c r="C12" s="17" t="str">
        <x:v>DEMO-C002</x:v>
      </x:c>
      <x:c r="D12" s="17" t="str">
        <x:v>Review circuit usage and next order</x:v>
      </x:c>
      <x:c r="E12" s="17" t="str">
        <x:v>Demo Lina</x:v>
      </x:c>
      <x:c r="F12" s="18" t="d">
        <x:v>2026-10-09T00:00:00.000Z</x:v>
      </x:c>
      <x:c r="G12" s="17" t="str">
        <x:v>In progress</x:v>
      </x:c>
      <x:c r="H12" s="20"/>
      <x:c r="I12" s="18"/>
    </x:row>
    <x:row r="13" ht="29" customHeight="1">
      <x:c r="A13" s="19"/>
      <x:c r="B13" s="12"/>
      <x:c r="C13" s="12"/>
      <x:c r="D13" s="12"/>
      <x:c r="E13" s="12"/>
      <x:c r="F13" s="19"/>
      <x:c r="G13" s="12"/>
      <x:c r="H13" s="22"/>
      <x:c r="I13" s="23"/>
    </x:row>
    <x:row r="14" ht="29" customHeight="1">
      <x:c r="A14" s="19"/>
      <x:c r="B14" s="12"/>
      <x:c r="C14" s="12"/>
      <x:c r="D14" s="12"/>
      <x:c r="E14" s="12"/>
      <x:c r="F14" s="19"/>
      <x:c r="G14" s="12"/>
      <x:c r="H14" s="22"/>
      <x:c r="I14" s="23"/>
    </x:row>
    <x:row r="15" ht="29" customHeight="1">
      <x:c r="A15" s="19"/>
      <x:c r="B15" s="12"/>
      <x:c r="C15" s="12"/>
      <x:c r="D15" s="12"/>
      <x:c r="E15" s="12"/>
      <x:c r="F15" s="19"/>
      <x:c r="G15" s="12"/>
      <x:c r="H15" s="22"/>
      <x:c r="I15" s="23"/>
    </x:row>
    <x:row r="16" ht="29" customHeight="1">
      <x:c r="A16" s="19"/>
      <x:c r="B16" s="12"/>
      <x:c r="C16" s="12"/>
      <x:c r="D16" s="12"/>
      <x:c r="E16" s="12"/>
      <x:c r="F16" s="19"/>
      <x:c r="G16" s="12"/>
      <x:c r="H16" s="22"/>
      <x:c r="I16" s="23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30" customHeight="1">
      <x:c r="A20" s="14" t="str">
        <x:v>BW2. Missing stock and expiry fields</x:v>
      </x:c>
      <x:c r="B20" s="13"/>
      <x:c r="C20" s="13"/>
      <x:c r="D20" s="13"/>
      <x:c r="E20" s="13"/>
      <x:c r="F20" s="13"/>
      <x:c r="G20" s="13"/>
      <x:c r="H20" s="13"/>
      <x:c r="I20" s="2"/>
    </x:row>
    <x:row r="21" ht="24" customHeight="1">
      <x:c r="A21" s="5" t="str">
        <x:v>MANUAL ONLY IF E06 IS INCOMPLETE. Match product + batch + location. Quantity is entered only when the batch quantity is missing.</x:v>
      </x:c>
      <x:c r="B21" s="2"/>
      <x:c r="C21" s="2"/>
      <x:c r="D21" s="2"/>
      <x:c r="E21" s="2"/>
      <x:c r="F21" s="2"/>
      <x:c r="G21" s="2"/>
      <x:c r="H21" s="2"/>
      <x:c r="I21" s="2"/>
    </x:row>
    <x:row r="22" ht="24" customHeight="1">
      <x:c r="A22" s="5" t="str">
        <x:v>Updated by: Warehouse team. Review weekly; carry forward unchanged records.</x:v>
      </x:c>
      <x:c r="B22" s="2"/>
      <x:c r="C22" s="2"/>
      <x:c r="D22" s="2"/>
      <x:c r="E22" s="2"/>
      <x:c r="F22" s="2"/>
      <x:c r="G22" s="2"/>
      <x:c r="H22" s="2"/>
      <x:c r="I22" s="2"/>
    </x:row>
    <x:row r="23" ht="58" customHeight="1">
      <x:c r="A23" s="15" t="str">
        <x:v>Week ending</x:v>
      </x:c>
      <x:c r="B23" s="15" t="str">
        <x:v>Product code</x:v>
      </x:c>
      <x:c r="C23" s="15" t="str">
        <x:v>Batch code</x:v>
      </x:c>
      <x:c r="D23" s="15" t="str">
        <x:v>Warehouse / location</x:v>
      </x:c>
      <x:c r="E23" s="15" t="str">
        <x:v>Batch quantity if missing</x:v>
      </x:c>
      <x:c r="F23" s="15" t="str">
        <x:v>Counting unit</x:v>
      </x:c>
      <x:c r="G23" s="15" t="str">
        <x:v>Expiry date</x:v>
      </x:c>
      <x:c r="H23" s="15" t="str">
        <x:v>Source / check reference</x:v>
      </x:c>
      <x:c r="I23" s="2"/>
    </x:row>
    <x:row r="24" ht="68" customHeight="1">
      <x:c r="A24" s="18" t="d">
        <x:v>2026-10-08T00:00:00.000Z</x:v>
      </x:c>
      <x:c r="B24" s="17" t="str">
        <x:v>DEMO-MED-ST10</x:v>
      </x:c>
      <x:c r="C24" s="17" t="str">
        <x:v>DEMO-LOT-A</x:v>
      </x:c>
      <x:c r="D24" s="17" t="str">
        <x:v>Amman demo warehouse</x:v>
      </x:c>
      <x:c r="E24" s="17" t="n">
        <x:v>600</x:v>
      </x:c>
      <x:c r="F24" s="17" t="str">
        <x:v>piece</x:v>
      </x:c>
      <x:c r="G24" s="18" t="d">
        <x:v>2027-12-31T00:00:00.000Z</x:v>
      </x:c>
      <x:c r="H24" s="17" t="str">
        <x:v>DEMO-BATCH-A</x:v>
      </x:c>
      <x:c r="I24" s="2"/>
    </x:row>
    <x:row r="25" ht="68" customHeight="1">
      <x:c r="A25" s="18" t="d">
        <x:v>2026-10-08T00:00:00.000Z</x:v>
      </x:c>
      <x:c r="B25" s="17" t="str">
        <x:v>DEMO-VAP-HIGH</x:v>
      </x:c>
      <x:c r="C25" s="17" t="str">
        <x:v>DEMO-LOT-B</x:v>
      </x:c>
      <x:c r="D25" s="17" t="str">
        <x:v>Amman demo warehouse</x:v>
      </x:c>
      <x:c r="E25" s="17" t="n">
        <x:v>80</x:v>
      </x:c>
      <x:c r="F25" s="17" t="str">
        <x:v>piece</x:v>
      </x:c>
      <x:c r="G25" s="18" t="d">
        <x:v>2026-12-15T00:00:00.000Z</x:v>
      </x:c>
      <x:c r="H25" s="17" t="str">
        <x:v>DEMO-BATCH-B</x:v>
      </x:c>
      <x:c r="I25" s="2"/>
    </x:row>
    <x:row r="26" ht="29" customHeight="1">
      <x:c r="A26" s="19"/>
      <x:c r="B26" s="12"/>
      <x:c r="C26" s="12"/>
      <x:c r="D26" s="12"/>
      <x:c r="E26" s="24"/>
      <x:c r="F26" s="12"/>
      <x:c r="G26" s="19"/>
      <x:c r="H26" s="12"/>
      <x:c r="I26" s="2"/>
    </x:row>
    <x:row r="27" ht="29" customHeight="1">
      <x:c r="A27" s="19"/>
      <x:c r="B27" s="12"/>
      <x:c r="C27" s="12"/>
      <x:c r="D27" s="12"/>
      <x:c r="E27" s="24"/>
      <x:c r="F27" s="12"/>
      <x:c r="G27" s="19"/>
      <x:c r="H27" s="12"/>
      <x:c r="I27" s="2"/>
    </x:row>
    <x:row r="28" ht="29" customHeight="1">
      <x:c r="A28" s="19"/>
      <x:c r="B28" s="12"/>
      <x:c r="C28" s="12"/>
      <x:c r="D28" s="12"/>
      <x:c r="E28" s="24"/>
      <x:c r="F28" s="12"/>
      <x:c r="G28" s="19"/>
      <x:c r="H28" s="12"/>
      <x:c r="I28" s="2"/>
    </x:row>
    <x:row r="29" ht="29" customHeight="1">
      <x:c r="A29" s="19"/>
      <x:c r="B29" s="12"/>
      <x:c r="C29" s="12"/>
      <x:c r="D29" s="12"/>
      <x:c r="E29" s="24"/>
      <x:c r="F29" s="12"/>
      <x:c r="G29" s="19"/>
      <x:c r="H29" s="12"/>
      <x:c r="I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</x:row>
  </x:sheetData>
  <x:dataValidations count="3">
    <x:dataValidation type="list" sqref="G11:G16">
      <x:formula1>"Open,In progress,Waiting,Completed,Cancelled"</x:formula1>
    </x:dataValidation>
    <x:dataValidation type="decimal" operator="greaterThanOrEqual" sqref="H11:H16">
      <x:formula1>0</x:formula1>
    </x:dataValidation>
    <x:dataValidation type="decimal" operator="greaterThanOrEqual" sqref="E24:E29">
      <x:formula1>0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9a77a5ae8e76417e"/>
    <x:tablePart xmlns:r="http://schemas.openxmlformats.org/officeDocument/2006/relationships" r:id="R573f9f796b1a4b7d"/>
  </x:tableParts>
</x:worksheet>
</file>

<file path=xl/worksheets/sheet5.xml><?xml version="1.0" encoding="utf-8"?>
<x:worksheet xmlns:x="http://schemas.openxmlformats.org/spreadsheetml/2006/main">
  <x:sheetPr>
    <x:tabColor rgb="FF42668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28" hidden="0" customWidth="1"/>
    <x:col min="3" max="3" width="29" hidden="0" customWidth="1"/>
    <x:col min="4" max="4" width="30" hidden="0" customWidth="1"/>
    <x:col min="5" max="5" width="51" hidden="0" customWidth="1"/>
  </x:cols>
  <x:sheetData>
    <x:row r="1" ht="24" customHeight="1">
      <x:c r="A1" s="2"/>
      <x:c r="B1" s="2"/>
      <x:c r="C1" s="2"/>
      <x:c r="D1" s="2"/>
      <x:c r="E1" s="2"/>
    </x:row>
    <x:row r="2" ht="33" customHeight="1">
      <x:c r="A2" s="3" t="str">
        <x:v>Basic: monthly manual inputs</x:v>
      </x:c>
      <x:c r="B2" s="2"/>
      <x:c r="C2" s="2"/>
      <x:c r="D2" s="2"/>
      <x:c r="E2" s="2"/>
    </x:row>
    <x:row r="3" ht="24" customHeight="1">
      <x:c r="A3" s="2"/>
      <x:c r="B3" s="2"/>
      <x:c r="C3" s="2"/>
      <x:c r="D3" s="2"/>
      <x:c r="E3" s="2"/>
    </x:row>
    <x:row r="4" ht="24" customHeight="1">
      <x:c r="A4" s="4" t="str">
        <x:v>Confirm targets and missing reference details once a month. Stable settings are carried forward; do not retype them.</x:v>
      </x:c>
      <x:c r="B4" s="2"/>
      <x:c r="C4" s="2"/>
      <x:c r="D4" s="2"/>
      <x:c r="E4" s="2"/>
    </x:row>
    <x:row r="5" ht="24" customHeight="1">
      <x:c r="A5" s="5" t="str">
        <x:v>Blue = demo examples. Only missing fields go here; the product/customer lists remain in Alpha.</x:v>
      </x:c>
      <x:c r="B5" s="2"/>
      <x:c r="C5" s="2"/>
      <x:c r="D5" s="2"/>
      <x:c r="E5" s="2"/>
    </x:row>
    <x:row r="6" ht="24" customHeight="1">
      <x:c r="A6" s="2"/>
      <x:c r="B6" s="2"/>
      <x:c r="C6" s="2"/>
      <x:c r="D6" s="2"/>
      <x:c r="E6" s="2"/>
    </x:row>
    <x:row r="7" ht="30" customHeight="1">
      <x:c r="A7" s="14" t="str">
        <x:v>BM1. Monthly targets</x:v>
      </x:c>
      <x:c r="B7" s="13"/>
      <x:c r="C7" s="13"/>
      <x:c r="D7" s="13"/>
      <x:c r="E7" s="13"/>
    </x:row>
    <x:row r="8" ht="24" customHeight="1">
      <x:c r="A8" s="5" t="str">
        <x:v>MANUAL MANAGEMENT PLAN. Optional for actuals-only reporting. Choose company-wide or category targets for a month, not both.</x:v>
      </x:c>
      <x:c r="B8" s="2"/>
      <x:c r="C8" s="2"/>
      <x:c r="D8" s="2"/>
      <x:c r="E8" s="2"/>
    </x:row>
    <x:row r="9" ht="24" customHeight="1">
      <x:c r="A9" s="5" t="str">
        <x:v>Updated by: Management / finance. Review monthly; carry forward unchanged records.</x:v>
      </x:c>
      <x:c r="B9" s="2"/>
      <x:c r="C9" s="2"/>
      <x:c r="D9" s="2"/>
      <x:c r="E9" s="2"/>
    </x:row>
    <x:row r="10" ht="58" customHeight="1">
      <x:c r="A10" s="15" t="str">
        <x:v>Month</x:v>
      </x:c>
      <x:c r="B10" s="15" t="str">
        <x:v>Category or All</x:v>
      </x:c>
      <x:c r="C10" s="15" t="str">
        <x:v>Sales target (JOD)</x:v>
      </x:c>
      <x:c r="D10" s="15" t="str">
        <x:v>Gross margin target</x:v>
      </x:c>
      <x:c r="E10" s="15" t="str">
        <x:v>Collection target (JOD)</x:v>
      </x:c>
    </x:row>
    <x:row r="11" ht="68" customHeight="1">
      <x:c r="A11" s="25" t="d">
        <x:v>2026-09-01T00:00:00.000Z</x:v>
      </x:c>
      <x:c r="B11" s="17" t="str">
        <x:v>Equipment</x:v>
      </x:c>
      <x:c r="C11" s="20" t="n">
        <x:v>26000</x:v>
      </x:c>
      <x:c r="D11" s="27" t="n">
        <x:v>0.25</x:v>
      </x:c>
      <x:c r="E11" s="20" t="n">
        <x:v>17000</x:v>
      </x:c>
    </x:row>
    <x:row r="12" ht="68" customHeight="1">
      <x:c r="A12" s="25" t="d">
        <x:v>2026-09-01T00:00:00.000Z</x:v>
      </x:c>
      <x:c r="B12" s="17" t="str">
        <x:v>Devices</x:v>
      </x:c>
      <x:c r="C12" s="20" t="n">
        <x:v>32000</x:v>
      </x:c>
      <x:c r="D12" s="27" t="n">
        <x:v>0.3</x:v>
      </x:c>
      <x:c r="E12" s="20" t="n">
        <x:v>22000</x:v>
      </x:c>
    </x:row>
    <x:row r="13" ht="29" customHeight="1">
      <x:c r="A13" s="26"/>
      <x:c r="B13" s="12"/>
      <x:c r="C13" s="21"/>
      <x:c r="D13" s="28"/>
      <x:c r="E13" s="21"/>
    </x:row>
    <x:row r="14" ht="29" customHeight="1">
      <x:c r="A14" s="26"/>
      <x:c r="B14" s="12"/>
      <x:c r="C14" s="21"/>
      <x:c r="D14" s="28"/>
      <x:c r="E14" s="21"/>
    </x:row>
    <x:row r="15" ht="29" customHeight="1">
      <x:c r="A15" s="26"/>
      <x:c r="B15" s="12"/>
      <x:c r="C15" s="21"/>
      <x:c r="D15" s="28"/>
      <x:c r="E15" s="21"/>
    </x:row>
    <x:row r="16" ht="29" customHeight="1">
      <x:c r="A16" s="26"/>
      <x:c r="B16" s="12"/>
      <x:c r="C16" s="21"/>
      <x:c r="D16" s="28"/>
      <x:c r="E16" s="21"/>
    </x:row>
    <x:row r="17" ht="24" customHeight="1">
      <x:c r="A17" s="2"/>
      <x:c r="B17" s="2"/>
      <x:c r="C17" s="2"/>
      <x:c r="D17" s="2"/>
      <x:c r="E17" s="2"/>
    </x:row>
    <x:row r="18" ht="24" customHeight="1">
      <x:c r="A18" s="2"/>
      <x:c r="B18" s="2"/>
      <x:c r="C18" s="2"/>
      <x:c r="D18" s="2"/>
      <x:c r="E18" s="2"/>
    </x:row>
    <x:row r="19" ht="24" customHeight="1">
      <x:c r="A19" s="2"/>
      <x:c r="B19" s="2"/>
      <x:c r="C19" s="2"/>
      <x:c r="D19" s="2"/>
      <x:c r="E19" s="2"/>
    </x:row>
    <x:row r="20" ht="30" customHeight="1">
      <x:c r="A20" s="14" t="str">
        <x:v>BM2. Missing master fields and report assumptions</x:v>
      </x:c>
      <x:c r="B20" s="13"/>
      <x:c r="C20" s="13"/>
      <x:c r="D20" s="13"/>
      <x:c r="E20" s="13"/>
    </x:row>
    <x:row r="21" ht="24" customHeight="1">
      <x:c r="A21" s="5" t="str">
        <x:v>MANUAL / GAP ONLY. One row per scope + field. Use All for company policy or an exact product/unit/customer code for a specific setting.</x:v>
      </x:c>
      <x:c r="B21" s="2"/>
      <x:c r="C21" s="2"/>
      <x:c r="D21" s="2"/>
      <x:c r="E21" s="2"/>
    </x:row>
    <x:row r="22" ht="24" customHeight="1">
      <x:c r="A22" s="5" t="str">
        <x:v>Updated by: Product manager / finance. Review monthly; carry forward unchanged records.</x:v>
      </x:c>
      <x:c r="B22" s="2"/>
      <x:c r="C22" s="2"/>
      <x:c r="D22" s="2"/>
      <x:c r="E22" s="2"/>
    </x:row>
    <x:row r="23" ht="58" customHeight="1">
      <x:c r="A23" s="15" t="str">
        <x:v>Reviewed month</x:v>
      </x:c>
      <x:c r="B23" s="15" t="str">
        <x:v>Scope / record code</x:v>
      </x:c>
      <x:c r="C23" s="15" t="str">
        <x:v>Field to maintain</x:v>
      </x:c>
      <x:c r="D23" s="15" t="str">
        <x:v>Confirmed value</x:v>
      </x:c>
      <x:c r="E23" s="15" t="str">
        <x:v>Source / approval reference</x:v>
      </x:c>
    </x:row>
    <x:row r="24" ht="68" customHeight="1">
      <x:c r="A24" s="25" t="d">
        <x:v>2026-09-01T00:00:00.000Z</x:v>
      </x:c>
      <x:c r="B24" s="17" t="str">
        <x:v>DEMO-MED-ST10</x:v>
      </x:c>
      <x:c r="C24" s="17" t="str">
        <x:v>Lead time days</x:v>
      </x:c>
      <x:c r="D24" s="17" t="n">
        <x:v>14</x:v>
      </x:c>
      <x:c r="E24" s="17" t="str">
        <x:v>DEMO supplier lead-time confirmation</x:v>
      </x:c>
    </x:row>
    <x:row r="25" ht="68" customHeight="1">
      <x:c r="A25" s="25" t="d">
        <x:v>2026-09-01T00:00:00.000Z</x:v>
      </x:c>
      <x:c r="B25" s="17" t="str">
        <x:v>All</x:v>
      </x:c>
      <x:c r="C25" s="17" t="str">
        <x:v>Expiry warning days</x:v>
      </x:c>
      <x:c r="D25" s="17" t="n">
        <x:v>90</x:v>
      </x:c>
      <x:c r="E25" s="17" t="str">
        <x:v>DEMO management stock policy</x:v>
      </x:c>
    </x:row>
    <x:row r="26" ht="29" customHeight="1">
      <x:c r="A26" s="26"/>
      <x:c r="B26" s="12"/>
      <x:c r="C26" s="12"/>
      <x:c r="D26" s="12"/>
      <x:c r="E26" s="12"/>
    </x:row>
    <x:row r="27" ht="29" customHeight="1">
      <x:c r="A27" s="26"/>
      <x:c r="B27" s="12"/>
      <x:c r="C27" s="12"/>
      <x:c r="D27" s="12"/>
      <x:c r="E27" s="12"/>
    </x:row>
    <x:row r="28" ht="29" customHeight="1">
      <x:c r="A28" s="26"/>
      <x:c r="B28" s="12"/>
      <x:c r="C28" s="12"/>
      <x:c r="D28" s="12"/>
      <x:c r="E28" s="12"/>
    </x:row>
    <x:row r="29" ht="29" customHeight="1">
      <x:c r="A29" s="26"/>
      <x:c r="B29" s="12"/>
      <x:c r="C29" s="12"/>
      <x:c r="D29" s="12"/>
      <x:c r="E29" s="12"/>
    </x:row>
    <x:row r="30" ht="24" customHeight="1">
      <x:c r="A30" s="2"/>
      <x:c r="B30" s="2"/>
      <x:c r="C30" s="2"/>
      <x:c r="D30" s="2"/>
      <x:c r="E30" s="2"/>
    </x:row>
    <x:row r="31" ht="24" customHeight="1">
      <x:c r="A31" s="2"/>
      <x:c r="B31" s="2"/>
      <x:c r="C31" s="2"/>
      <x:c r="D31" s="2"/>
      <x:c r="E31" s="2"/>
    </x:row>
    <x:row r="32" ht="24" customHeight="1">
      <x:c r="A32" s="2"/>
      <x:c r="B32" s="2"/>
      <x:c r="C32" s="2"/>
      <x:c r="D32" s="2"/>
      <x:c r="E32" s="2"/>
    </x:row>
    <x:row r="33" ht="24" customHeight="1">
      <x:c r="A33" s="2"/>
      <x:c r="B33" s="2"/>
      <x:c r="C33" s="2"/>
      <x:c r="D33" s="2"/>
      <x:c r="E33" s="2"/>
    </x:row>
    <x:row r="34" ht="24" customHeight="1">
      <x:c r="A34" s="2"/>
      <x:c r="B34" s="2"/>
      <x:c r="C34" s="2"/>
      <x:c r="D34" s="2"/>
      <x:c r="E34" s="2"/>
    </x:row>
    <x:row r="35" ht="24" customHeight="1">
      <x:c r="A35" s="2"/>
      <x:c r="B35" s="2"/>
      <x:c r="C35" s="2"/>
      <x:c r="D35" s="2"/>
      <x:c r="E35" s="2"/>
    </x:row>
    <x:row r="36" ht="24" customHeight="1">
      <x:c r="A36" s="5" t="str">
        <x:v>Required for the relevant insight: category/unit mapping; lead time and stock rules; renewal/age rules; recovery-share and margin assumptions.</x:v>
      </x:c>
      <x:c r="B36" s="2"/>
      <x:c r="C36" s="2"/>
      <x:c r="D36" s="2"/>
      <x:c r="E36" s="2"/>
    </x:row>
    <x:row r="37" ht="24" customHeight="1">
      <x:c r="A37" s="5" t="str">
        <x:v>Percentage settings in BM2 use whole percentages, e.g. 40 means 40%. BM1 gross margin uses Excel percentage format, e.g. 25%.</x:v>
      </x:c>
      <x:c r="B37" s="2"/>
      <x:c r="C37" s="2"/>
      <x:c r="D37" s="2"/>
      <x:c r="E37" s="2"/>
    </x:row>
    <x:row r="38" ht="24" customHeight="1">
      <x:c r="A38" s="5" t="str">
        <x:v>For stock with no consumption, show No recent use. Do not divide by zero or assume the stock is a confirmed loss.</x:v>
      </x:c>
      <x:c r="B38" s="2"/>
      <x:c r="C38" s="2"/>
      <x:c r="D38" s="2"/>
      <x:c r="E38" s="2"/>
    </x:row>
    <x:row r="39" ht="24" customHeight="1">
      <x:c r="A39" s="2"/>
      <x:c r="B39" s="2"/>
      <x:c r="C39" s="2"/>
      <x:c r="D39" s="2"/>
      <x:c r="E39" s="2"/>
    </x:row>
    <x:row r="40" ht="24" customHeight="1">
      <x:c r="A40" s="2"/>
      <x:c r="B40" s="2"/>
      <x:c r="C40" s="2"/>
      <x:c r="D40" s="2"/>
      <x:c r="E40" s="2"/>
    </x:row>
    <x:row r="41" ht="24" customHeight="1">
      <x:c r="A41" s="2"/>
      <x:c r="B41" s="2"/>
      <x:c r="C41" s="2"/>
      <x:c r="D41" s="2"/>
      <x:c r="E41" s="2"/>
    </x:row>
    <x:row r="42" ht="24" customHeight="1">
      <x:c r="A42" s="2"/>
      <x:c r="B42" s="2"/>
      <x:c r="C42" s="2"/>
      <x:c r="D42" s="2"/>
      <x:c r="E42" s="2"/>
    </x:row>
    <x:row r="43" ht="24" customHeight="1">
      <x:c r="A43" s="2"/>
      <x:c r="B43" s="2"/>
      <x:c r="C43" s="2"/>
      <x:c r="D43" s="2"/>
      <x:c r="E43" s="2"/>
    </x:row>
    <x:row r="44" ht="24" customHeight="1">
      <x:c r="A44" s="2"/>
      <x:c r="B44" s="2"/>
      <x:c r="C44" s="2"/>
      <x:c r="D44" s="2"/>
      <x:c r="E44" s="2"/>
    </x:row>
    <x:row r="45" ht="24" customHeight="1">
      <x:c r="A45" s="2"/>
      <x:c r="B45" s="2"/>
      <x:c r="C45" s="2"/>
      <x:c r="D45" s="2"/>
      <x:c r="E45" s="2"/>
    </x:row>
    <x:row r="46" ht="24" customHeight="1">
      <x:c r="A46" s="2"/>
      <x:c r="B46" s="2"/>
      <x:c r="C46" s="2"/>
      <x:c r="D46" s="2"/>
      <x:c r="E46" s="2"/>
    </x:row>
    <x:row r="47" ht="24" customHeight="1">
      <x:c r="A47" s="2"/>
      <x:c r="B47" s="2"/>
      <x:c r="C47" s="2"/>
      <x:c r="D47" s="2"/>
      <x:c r="E47" s="2"/>
    </x:row>
    <x:row r="48" ht="24" customHeight="1">
      <x:c r="A48" s="2"/>
      <x:c r="B48" s="2"/>
      <x:c r="C48" s="2"/>
      <x:c r="D48" s="2"/>
      <x:c r="E48" s="2"/>
    </x:row>
    <x:row r="49" ht="24" customHeight="1">
      <x:c r="A49" s="2"/>
      <x:c r="B49" s="2"/>
      <x:c r="C49" s="2"/>
      <x:c r="D49" s="2"/>
      <x:c r="E49" s="2"/>
    </x:row>
    <x:row r="50" ht="24" customHeight="1">
      <x:c r="A50" s="2"/>
      <x:c r="B50" s="2"/>
      <x:c r="C50" s="2"/>
      <x:c r="D50" s="2"/>
      <x:c r="E50" s="2"/>
    </x:row>
    <x:row r="51" ht="24" customHeight="1">
      <x:c r="A51" s="2"/>
      <x:c r="B51" s="2"/>
      <x:c r="C51" s="2"/>
      <x:c r="D51" s="2"/>
      <x:c r="E51" s="2"/>
    </x:row>
    <x:row r="52" ht="24" customHeight="1">
      <x:c r="A52" s="2"/>
      <x:c r="B52" s="2"/>
      <x:c r="C52" s="2"/>
      <x:c r="D52" s="2"/>
      <x:c r="E52" s="2"/>
    </x:row>
    <x:row r="53" ht="24" customHeight="1">
      <x:c r="A53" s="2"/>
      <x:c r="B53" s="2"/>
      <x:c r="C53" s="2"/>
      <x:c r="D53" s="2"/>
      <x:c r="E53" s="2"/>
    </x:row>
    <x:row r="54" ht="24" customHeight="1">
      <x:c r="A54" s="2"/>
      <x:c r="B54" s="2"/>
      <x:c r="C54" s="2"/>
      <x:c r="D54" s="2"/>
      <x:c r="E54" s="2"/>
    </x:row>
    <x:row r="55" ht="24" customHeight="1">
      <x:c r="A55" s="2"/>
      <x:c r="B55" s="2"/>
      <x:c r="C55" s="2"/>
      <x:c r="D55" s="2"/>
      <x:c r="E55" s="2"/>
    </x:row>
    <x:row r="56" ht="24" customHeight="1">
      <x:c r="A56" s="2"/>
      <x:c r="B56" s="2"/>
      <x:c r="C56" s="2"/>
      <x:c r="D56" s="2"/>
      <x:c r="E56" s="2"/>
    </x:row>
    <x:row r="57" ht="24" customHeight="1">
      <x:c r="A57" s="2"/>
      <x:c r="B57" s="2"/>
      <x:c r="C57" s="2"/>
      <x:c r="D57" s="2"/>
      <x:c r="E57" s="2"/>
    </x:row>
    <x:row r="58" ht="24" customHeight="1">
      <x:c r="A58" s="2"/>
      <x:c r="B58" s="2"/>
      <x:c r="C58" s="2"/>
      <x:c r="D58" s="2"/>
      <x:c r="E58" s="2"/>
    </x:row>
    <x:row r="59" ht="24" customHeight="1">
      <x:c r="A59" s="2"/>
      <x:c r="B59" s="2"/>
      <x:c r="C59" s="2"/>
      <x:c r="D59" s="2"/>
      <x:c r="E59" s="2"/>
    </x:row>
    <x:row r="60" ht="24" customHeight="1">
      <x:c r="A60" s="2"/>
      <x:c r="B60" s="2"/>
      <x:c r="C60" s="2"/>
      <x:c r="D60" s="2"/>
      <x:c r="E60" s="2"/>
    </x:row>
    <x:row r="61" ht="24" customHeight="1">
      <x:c r="A61" s="2"/>
      <x:c r="B61" s="2"/>
      <x:c r="C61" s="2"/>
      <x:c r="D61" s="2"/>
      <x:c r="E61" s="2"/>
    </x:row>
    <x:row r="62" ht="24" customHeight="1">
      <x:c r="A62" s="2"/>
      <x:c r="B62" s="2"/>
      <x:c r="C62" s="2"/>
      <x:c r="D62" s="2"/>
      <x:c r="E62" s="2"/>
    </x:row>
    <x:row r="63" ht="24" customHeight="1">
      <x:c r="A63" s="2"/>
      <x:c r="B63" s="2"/>
      <x:c r="C63" s="2"/>
      <x:c r="D63" s="2"/>
      <x:c r="E63" s="2"/>
    </x:row>
    <x:row r="64" ht="24" customHeight="1">
      <x:c r="A64" s="2"/>
      <x:c r="B64" s="2"/>
      <x:c r="C64" s="2"/>
      <x:c r="D64" s="2"/>
      <x:c r="E64" s="2"/>
    </x:row>
    <x:row r="65" ht="24" customHeight="1">
      <x:c r="A65" s="2"/>
      <x:c r="B65" s="2"/>
      <x:c r="C65" s="2"/>
      <x:c r="D65" s="2"/>
      <x:c r="E65" s="2"/>
    </x:row>
    <x:row r="66" ht="24" customHeight="1">
      <x:c r="A66" s="2"/>
      <x:c r="B66" s="2"/>
      <x:c r="C66" s="2"/>
      <x:c r="D66" s="2"/>
      <x:c r="E66" s="2"/>
    </x:row>
    <x:row r="67" ht="24" customHeight="1">
      <x:c r="A67" s="2"/>
      <x:c r="B67" s="2"/>
      <x:c r="C67" s="2"/>
      <x:c r="D67" s="2"/>
      <x:c r="E67" s="2"/>
    </x:row>
    <x:row r="68" ht="24" customHeight="1">
      <x:c r="A68" s="2"/>
      <x:c r="B68" s="2"/>
      <x:c r="C68" s="2"/>
      <x:c r="D68" s="2"/>
      <x:c r="E68" s="2"/>
    </x:row>
    <x:row r="69" ht="24" customHeight="1">
      <x:c r="A69" s="2"/>
      <x:c r="B69" s="2"/>
      <x:c r="C69" s="2"/>
      <x:c r="D69" s="2"/>
      <x:c r="E69" s="2"/>
    </x:row>
    <x:row r="70" ht="24" customHeight="1">
      <x:c r="A70" s="2"/>
      <x:c r="B70" s="2"/>
      <x:c r="C70" s="2"/>
      <x:c r="D70" s="2"/>
      <x:c r="E70" s="2"/>
    </x:row>
    <x:row r="71" ht="24" customHeight="1">
      <x:c r="A71" s="2"/>
      <x:c r="B71" s="2"/>
      <x:c r="C71" s="2"/>
      <x:c r="D71" s="2"/>
      <x:c r="E71" s="2"/>
    </x:row>
    <x:row r="72" ht="24" customHeight="1">
      <x:c r="A72" s="2"/>
      <x:c r="B72" s="2"/>
      <x:c r="C72" s="2"/>
      <x:c r="D72" s="2"/>
      <x:c r="E72" s="2"/>
    </x:row>
    <x:row r="73" ht="24" customHeight="1">
      <x:c r="A73" s="2"/>
      <x:c r="B73" s="2"/>
      <x:c r="C73" s="2"/>
      <x:c r="D73" s="2"/>
      <x:c r="E73" s="2"/>
    </x:row>
    <x:row r="74" ht="24" customHeight="1">
      <x:c r="A74" s="2"/>
      <x:c r="B74" s="2"/>
      <x:c r="C74" s="2"/>
      <x:c r="D74" s="2"/>
      <x:c r="E74" s="2"/>
    </x:row>
    <x:row r="75" ht="24" customHeight="1">
      <x:c r="A75" s="2"/>
      <x:c r="B75" s="2"/>
      <x:c r="C75" s="2"/>
      <x:c r="D75" s="2"/>
      <x:c r="E75" s="2"/>
    </x:row>
  </x:sheetData>
  <x:dataValidations count="5">
    <x:dataValidation type="list" sqref="B11:B16">
      <x:formula1>"All,Equipment,Devices,Consumables"</x:formula1>
    </x:dataValidation>
    <x:dataValidation type="decimal" operator="greaterThanOrEqual" sqref="C11:C16">
      <x:formula1>0</x:formula1>
    </x:dataValidation>
    <x:dataValidation type="decimal" operator="between" sqref="D11:D16">
      <x:formula1>0</x:formula1>
      <x:formula2>1</x:formula2>
    </x:dataValidation>
    <x:dataValidation type="decimal" operator="greaterThanOrEqual" sqref="E11:E16">
      <x:formula1>0</x:formula1>
    </x:dataValidation>
    <x:dataValidation type="list" sqref="C24:C29">
      <x:formula1>"Product category,Manufacturer,Counting unit,Pack conversion,Account owner,Supplier status,Lead time days,Safety buffer days,Slow-stock review days,Expiry warning days,Gap recovery share %,Extra-sales margin %,Renewal warning days,Age review years"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60f9d1d79c624182"/>
    <x:tablePart xmlns:r="http://schemas.openxmlformats.org/officeDocument/2006/relationships" r:id="Rdf945796f287463e"/>
  </x:tableParts>
</x:worksheet>
</file>

<file path=xl/worksheets/sheet6.xml><?xml version="1.0" encoding="utf-8"?>
<x:worksheet xmlns:x="http://schemas.openxmlformats.org/spreadsheetml/2006/main">
  <x:sheetPr>
    <x:tabColor rgb="FF235E5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17" hidden="0" customWidth="1"/>
    <x:col min="3" max="3" width="22" hidden="0" customWidth="1"/>
    <x:col min="4" max="4" width="20" hidden="0" customWidth="1"/>
    <x:col min="5" max="5" width="37" hidden="0" customWidth="1"/>
    <x:col min="6" max="6" width="21" hidden="0" customWidth="1"/>
    <x:col min="7" max="7" width="22" hidden="0" customWidth="1"/>
    <x:col min="8" max="8" width="23" hidden="0" customWidth="1"/>
    <x:col min="9" max="9" width="31" hidden="0" customWidth="1"/>
    <x:col min="10" max="10" width="21" hidden="0" customWidth="1"/>
    <x:col min="11" max="11" width="2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3" customHeight="1">
      <x:c r="A2" s="3" t="str">
        <x:v>Advanced: weekly manual inputs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4" t="str">
        <x:v>Use Basic weekly too. Import the same operational data from Alpha/CRM when available; otherwise use these two registers.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4" customHeight="1">
      <x:c r="A5" s="5" t="str">
        <x:v>One weekly snapshot of open work. Retain original event dates. Blue rows are fictional examples.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30" customHeight="1">
      <x:c r="A7" s="14" t="str">
        <x:v>AW1. Quotes, tenders and next deadlines</x:v>
      </x:c>
      <x:c r="B7" s="13"/>
      <x:c r="C7" s="13"/>
      <x:c r="D7" s="13"/>
      <x:c r="E7" s="13"/>
      <x:c r="F7" s="13"/>
      <x:c r="G7" s="13"/>
      <x:c r="H7" s="13"/>
      <x:c r="I7" s="13"/>
      <x:c r="J7" s="13"/>
      <x:c r="K7" s="13"/>
    </x:row>
    <x:row r="8" ht="24" customHeight="1">
      <x:c r="A8" s="5" t="str">
        <x:v>MANUAL IF E10 IS UNAVAILABLE. One total row per tender/quote. Mixed categories use Mixed; never repeat the full tender value for each product.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</x:row>
    <x:row r="9" ht="24" customHeight="1">
      <x:c r="A9" s="5" t="str">
        <x:v>Updated by: Sales / tender lead. Review weekly; carry forward unchanged records.</x:v>
      </x:c>
      <x:c r="B9" s="2"/>
      <x:c r="C9" s="2"/>
      <x:c r="D9" s="2"/>
      <x:c r="E9" s="2"/>
      <x:c r="F9" s="2"/>
      <x:c r="G9" s="2"/>
      <x:c r="H9" s="2"/>
      <x:c r="I9" s="2"/>
      <x:c r="J9" s="2"/>
      <x:c r="K9" s="2"/>
    </x:row>
    <x:row r="10" ht="58" customHeight="1">
      <x:c r="A10" s="15" t="str">
        <x:v>Record code</x:v>
      </x:c>
      <x:c r="B10" s="15" t="str">
        <x:v>Record type</x:v>
      </x:c>
      <x:c r="C10" s="15" t="str">
        <x:v>Customer code</x:v>
      </x:c>
      <x:c r="D10" s="15" t="str">
        <x:v>Category</x:v>
      </x:c>
      <x:c r="E10" s="15" t="str">
        <x:v>Product / scope</x:v>
      </x:c>
      <x:c r="F10" s="15" t="str">
        <x:v>Stage</x:v>
      </x:c>
      <x:c r="G10" s="15" t="str">
        <x:v>Total value (JOD)</x:v>
      </x:c>
      <x:c r="H10" s="15" t="str">
        <x:v>Full planned cost (JOD)</x:v>
      </x:c>
      <x:c r="I10" s="15" t="str">
        <x:v>Next event / key issue</x:v>
      </x:c>
      <x:c r="J10" s="15" t="str">
        <x:v>Next event date</x:v>
      </x:c>
      <x:c r="K10" s="15" t="str">
        <x:v>Responsible person</x:v>
      </x:c>
    </x:row>
    <x:row r="11" ht="68" customHeight="1">
      <x:c r="A11" s="17" t="str">
        <x:v>DEMO-T-A</x:v>
      </x:c>
      <x:c r="B11" s="17" t="str">
        <x:v>Tender</x:v>
      </x:c>
      <x:c r="C11" s="17" t="str">
        <x:v>DEMO-C001</x:v>
      </x:c>
      <x:c r="D11" s="17" t="str">
        <x:v>Equipment</x:v>
      </x:c>
      <x:c r="E11" s="17" t="str">
        <x:v>10 MEDIMA P300 pumps</x:v>
      </x:c>
      <x:c r="F11" s="17" t="str">
        <x:v>Delivered</x:v>
      </x:c>
      <x:c r="G11" s="20" t="n">
        <x:v>24000</x:v>
      </x:c>
      <x:c r="H11" s="20" t="n">
        <x:v>18600</x:v>
      </x:c>
      <x:c r="I11" s="17" t="str">
        <x:v>Collect promised balance</x:v>
      </x:c>
      <x:c r="J11" s="18" t="d">
        <x:v>2026-10-15T00:00:00.000Z</x:v>
      </x:c>
      <x:c r="K11" s="17" t="str">
        <x:v>Demo Ahmad</x:v>
      </x:c>
    </x:row>
    <x:row r="12" ht="68" customHeight="1">
      <x:c r="A12" s="17" t="str">
        <x:v>DEMO-T-B</x:v>
      </x:c>
      <x:c r="B12" s="17" t="str">
        <x:v>Tender</x:v>
      </x:c>
      <x:c r="C12" s="17" t="str">
        <x:v>DEMO-C002</x:v>
      </x:c>
      <x:c r="D12" s="17" t="str">
        <x:v>Devices</x:v>
      </x:c>
      <x:c r="E12" s="17" t="str">
        <x:v>2 Vapotherm Precision Flow systems</x:v>
      </x:c>
      <x:c r="F12" s="17" t="str">
        <x:v>Delivered</x:v>
      </x:c>
      <x:c r="G12" s="20" t="n">
        <x:v>30000</x:v>
      </x:c>
      <x:c r="H12" s="20" t="n">
        <x:v>21900</x:v>
      </x:c>
      <x:c r="I12" s="17" t="str">
        <x:v>Collect final balance</x:v>
      </x:c>
      <x:c r="J12" s="18" t="d">
        <x:v>2026-10-20T00:00:00.000Z</x:v>
      </x:c>
      <x:c r="K12" s="17" t="str">
        <x:v>Demo Lina</x:v>
      </x:c>
    </x:row>
    <x:row r="13" ht="29" customHeight="1">
      <x:c r="A13" s="12"/>
      <x:c r="B13" s="12"/>
      <x:c r="C13" s="12"/>
      <x:c r="D13" s="12"/>
      <x:c r="E13" s="12"/>
      <x:c r="F13" s="12"/>
      <x:c r="G13" s="21"/>
      <x:c r="H13" s="21"/>
      <x:c r="I13" s="12"/>
      <x:c r="J13" s="19"/>
      <x:c r="K13" s="12"/>
    </x:row>
    <x:row r="14" ht="29" customHeight="1">
      <x:c r="A14" s="12"/>
      <x:c r="B14" s="12"/>
      <x:c r="C14" s="12"/>
      <x:c r="D14" s="12"/>
      <x:c r="E14" s="12"/>
      <x:c r="F14" s="12"/>
      <x:c r="G14" s="21"/>
      <x:c r="H14" s="21"/>
      <x:c r="I14" s="12"/>
      <x:c r="J14" s="19"/>
      <x:c r="K14" s="12"/>
    </x:row>
    <x:row r="15" ht="29" customHeight="1">
      <x:c r="A15" s="12"/>
      <x:c r="B15" s="12"/>
      <x:c r="C15" s="12"/>
      <x:c r="D15" s="12"/>
      <x:c r="E15" s="12"/>
      <x:c r="F15" s="12"/>
      <x:c r="G15" s="21"/>
      <x:c r="H15" s="21"/>
      <x:c r="I15" s="12"/>
      <x:c r="J15" s="19"/>
      <x:c r="K15" s="12"/>
    </x:row>
    <x:row r="16" ht="29" customHeight="1">
      <x:c r="A16" s="12"/>
      <x:c r="B16" s="12"/>
      <x:c r="C16" s="12"/>
      <x:c r="D16" s="12"/>
      <x:c r="E16" s="12"/>
      <x:c r="F16" s="12"/>
      <x:c r="G16" s="21"/>
      <x:c r="H16" s="21"/>
      <x:c r="I16" s="12"/>
      <x:c r="J16" s="19"/>
      <x:c r="K16" s="1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30" customHeight="1">
      <x:c r="A20" s="14" t="str">
        <x:v>AW2. Delivery records missing from Alpha</x:v>
      </x:c>
      <x:c r="B20" s="13"/>
      <x:c r="C20" s="13"/>
      <x:c r="D20" s="13"/>
      <x:c r="E20" s="13"/>
      <x:c r="F20" s="13"/>
      <x:c r="G20" s="13"/>
      <x:c r="H20" s="13"/>
      <x:c r="I20" s="2"/>
      <x:c r="J20" s="2"/>
      <x:c r="K20" s="2"/>
    </x:row>
    <x:row r="21" ht="24" customHeight="1">
      <x:c r="A21" s="5" t="str">
        <x:v>MANUAL ONLY FOR E08 GAPS. If there is no ERP delivery list, include ALL deliveries due, not just late ones. Actual date is blank until fully completed.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4" customHeight="1">
      <x:c r="A22" s="5" t="str">
        <x:v>Updated by: Purchasing / logistics. Review weekly; carry forward unchanged records.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 ht="58" customHeight="1">
      <x:c r="A23" s="15" t="str">
        <x:v>Week ending</x:v>
      </x:c>
      <x:c r="B23" s="15" t="str">
        <x:v>Delivery / PO line code</x:v>
      </x:c>
      <x:c r="C23" s="15" t="str">
        <x:v>Direction</x:v>
      </x:c>
      <x:c r="D23" s="15" t="str">
        <x:v>Supplier / customer code</x:v>
      </x:c>
      <x:c r="E23" s="15" t="str">
        <x:v>Promised full-delivery date</x:v>
      </x:c>
      <x:c r="F23" s="15" t="str">
        <x:v>Actual full-delivery date</x:v>
      </x:c>
      <x:c r="G23" s="15" t="str">
        <x:v>Outstanding quantity</x:v>
      </x:c>
      <x:c r="H23" s="15" t="str">
        <x:v>Delay cause / source</x:v>
      </x:c>
      <x:c r="I23" s="2"/>
      <x:c r="J23" s="2"/>
      <x:c r="K23" s="2"/>
    </x:row>
    <x:row r="24" ht="68" customHeight="1">
      <x:c r="A24" s="18" t="d">
        <x:v>2026-10-08T00:00:00.000Z</x:v>
      </x:c>
      <x:c r="B24" s="17" t="str">
        <x:v>DEMO-DEL-A</x:v>
      </x:c>
      <x:c r="C24" s="17" t="str">
        <x:v>Outbound</x:v>
      </x:c>
      <x:c r="D24" s="17" t="str">
        <x:v>DEMO-C001</x:v>
      </x:c>
      <x:c r="E24" s="18" t="d">
        <x:v>2026-09-19T00:00:00.000Z</x:v>
      </x:c>
      <x:c r="F24" s="18" t="d">
        <x:v>2026-09-20T00:00:00.000Z</x:v>
      </x:c>
      <x:c r="G24" s="17" t="n">
        <x:v>0</x:v>
      </x:c>
      <x:c r="H24" s="17" t="str">
        <x:v>One day late; DEMO delivery note A</x:v>
      </x:c>
      <x:c r="I24" s="2"/>
      <x:c r="J24" s="2"/>
      <x:c r="K24" s="2"/>
    </x:row>
    <x:row r="25" ht="68" customHeight="1">
      <x:c r="A25" s="18" t="d">
        <x:v>2026-10-08T00:00:00.000Z</x:v>
      </x:c>
      <x:c r="B25" s="17" t="str">
        <x:v>DEMO-DEL-B</x:v>
      </x:c>
      <x:c r="C25" s="17" t="str">
        <x:v>Outbound</x:v>
      </x:c>
      <x:c r="D25" s="17" t="str">
        <x:v>DEMO-C002</x:v>
      </x:c>
      <x:c r="E25" s="18" t="d">
        <x:v>2026-09-22T00:00:00.000Z</x:v>
      </x:c>
      <x:c r="F25" s="18" t="d">
        <x:v>2026-09-22T00:00:00.000Z</x:v>
      </x:c>
      <x:c r="G25" s="17" t="n">
        <x:v>0</x:v>
      </x:c>
      <x:c r="H25" s="17" t="str">
        <x:v>On time; DEMO delivery note B</x:v>
      </x:c>
      <x:c r="I25" s="2"/>
      <x:c r="J25" s="2"/>
      <x:c r="K25" s="2"/>
    </x:row>
    <x:row r="26" ht="29" customHeight="1">
      <x:c r="A26" s="19"/>
      <x:c r="B26" s="12"/>
      <x:c r="C26" s="12"/>
      <x:c r="D26" s="12"/>
      <x:c r="E26" s="19"/>
      <x:c r="F26" s="19"/>
      <x:c r="G26" s="12"/>
      <x:c r="H26" s="12"/>
      <x:c r="I26" s="2"/>
      <x:c r="J26" s="2"/>
      <x:c r="K26" s="2"/>
    </x:row>
    <x:row r="27" ht="29" customHeight="1">
      <x:c r="A27" s="19"/>
      <x:c r="B27" s="12"/>
      <x:c r="C27" s="12"/>
      <x:c r="D27" s="12"/>
      <x:c r="E27" s="19"/>
      <x:c r="F27" s="19"/>
      <x:c r="G27" s="12"/>
      <x:c r="H27" s="12"/>
      <x:c r="I27" s="2"/>
      <x:c r="J27" s="2"/>
      <x:c r="K27" s="2"/>
    </x:row>
    <x:row r="28" ht="29" customHeight="1">
      <x:c r="A28" s="19"/>
      <x:c r="B28" s="12"/>
      <x:c r="C28" s="12"/>
      <x:c r="D28" s="12"/>
      <x:c r="E28" s="19"/>
      <x:c r="F28" s="19"/>
      <x:c r="G28" s="12"/>
      <x:c r="H28" s="12"/>
      <x:c r="I28" s="2"/>
      <x:c r="J28" s="2"/>
      <x:c r="K28" s="2"/>
    </x:row>
    <x:row r="29" ht="29" customHeight="1">
      <x:c r="A29" s="19"/>
      <x:c r="B29" s="12"/>
      <x:c r="C29" s="12"/>
      <x:c r="D29" s="12"/>
      <x:c r="E29" s="19"/>
      <x:c r="F29" s="19"/>
      <x:c r="G29" s="12"/>
      <x:c r="H29" s="12"/>
      <x:c r="I29" s="2"/>
      <x:c r="J29" s="2"/>
      <x:c r="K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 ht="24" customHeight="1">
      <x:c r="A33" s="5" t="str">
        <x:v>Full planned cost includes product purchasing, freight, installation, training and expected warranty cost. Leave it blank until that estimate is complete.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 ht="24" customHeight="1">
      <x:c r="A34" s="5" t="str">
        <x:v>A deadline can fall between weekly submissions. The report shows the last submitted state and is not a live operational alert service.</x:v>
      </x:c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</x:sheetData>
  <x:dataValidations count="7">
    <x:dataValidation type="list" sqref="B11:B16">
      <x:formula1>"Quotation,Tender"</x:formula1>
    </x:dataValidation>
    <x:dataValidation type="list" sqref="D11:D16">
      <x:formula1>"Equipment,Devices,Consumables,Mixed"</x:formula1>
    </x:dataValidation>
    <x:dataValidation type="list" sqref="F11:F16">
      <x:formula1>"Preparing,Submitted,Negotiation,Won,Delivered,Lost,Cancelled,On hold"</x:formula1>
    </x:dataValidation>
    <x:dataValidation type="decimal" operator="greaterThanOrEqual" sqref="G11:G16">
      <x:formula1>0</x:formula1>
    </x:dataValidation>
    <x:dataValidation type="decimal" operator="greaterThanOrEqual" sqref="H11:H16">
      <x:formula1>0</x:formula1>
    </x:dataValidation>
    <x:dataValidation type="list" sqref="C24:C29">
      <x:formula1>"Inbound,Outbound"</x:formula1>
    </x:dataValidation>
    <x:dataValidation type="decimal" operator="greaterThanOrEqual" sqref="G24:G29">
      <x:formula1>0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7b3f675e92ba497e"/>
    <x:tablePart xmlns:r="http://schemas.openxmlformats.org/officeDocument/2006/relationships" r:id="Rbfa2308045034db6"/>
  </x:tableParts>
</x:worksheet>
</file>

<file path=xl/worksheets/sheet7.xml><?xml version="1.0" encoding="utf-8"?>
<x:worksheet xmlns:x="http://schemas.openxmlformats.org/spreadsheetml/2006/main">
  <x:sheetPr>
    <x:tabColor rgb="FF235E5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25" hidden="0" customWidth="1"/>
    <x:col min="3" max="3" width="28" hidden="0" customWidth="1"/>
    <x:col min="4" max="4" width="24" hidden="0" customWidth="1"/>
    <x:col min="5" max="5" width="23" hidden="0" customWidth="1"/>
    <x:col min="6" max="6" width="24" hidden="0" customWidth="1"/>
    <x:col min="7" max="7" width="25" hidden="0" customWidth="1"/>
    <x:col min="8" max="8" width="35" hidden="0" customWidth="1"/>
    <x:col min="9" max="9" width="25" hidden="0" customWidth="1"/>
    <x:col min="10" max="10" width="26" hidden="0" customWidth="1"/>
    <x:col min="11" max="11" width="2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3" customHeight="1">
      <x:c r="A2" s="3" t="str">
        <x:v>Advanced: monthly manual inputs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4" t="str">
        <x:v>Use Basic monthly too. Update stable equipment/rule records only where they changed; enter monthly activity and confirmed results.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4" customHeight="1">
      <x:c r="A5" s="5" t="str">
        <x:v>Do not enter rows already supplied by an ERP, service or HR export. Blue rows are illustrative; all commercial figures and customer records are fictional.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30" customHeight="1">
      <x:c r="A7" s="14" t="str">
        <x:v>AM1. Installed equipment and agreements</x:v>
      </x:c>
      <x:c r="B7" s="13"/>
      <x:c r="C7" s="13"/>
      <x:c r="D7" s="13"/>
      <x:c r="E7" s="13"/>
      <x:c r="F7" s="13"/>
      <x:c r="G7" s="13"/>
      <x:c r="H7" s="13"/>
      <x:c r="I7" s="13"/>
      <x:c r="J7" s="13"/>
      <x:c r="K7" s="13"/>
    </x:row>
    <x:row r="8" ht="24" customHeight="1">
      <x:c r="A8" s="5" t="str">
        <x:v>MANUAL IF E11 IS UNAVAILABLE. One row per physical unit. Confirm No contract explicitly; blank dates do not prove there is no agreement.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</x:row>
    <x:row r="9" ht="24" customHeight="1">
      <x:c r="A9" s="5" t="str">
        <x:v>Updated by: Service team. Review monthly; carry forward unchanged records.</x:v>
      </x:c>
      <x:c r="B9" s="2"/>
      <x:c r="C9" s="2"/>
      <x:c r="D9" s="2"/>
      <x:c r="E9" s="2"/>
      <x:c r="F9" s="2"/>
      <x:c r="G9" s="2"/>
      <x:c r="H9" s="2"/>
      <x:c r="I9" s="2"/>
      <x:c r="J9" s="2"/>
      <x:c r="K9" s="2"/>
    </x:row>
    <x:row r="10" ht="58" customHeight="1">
      <x:c r="A10" s="15" t="str">
        <x:v>Unit / serial ID</x:v>
      </x:c>
      <x:c r="B10" s="15" t="str">
        <x:v>Customer code</x:v>
      </x:c>
      <x:c r="C10" s="15" t="str">
        <x:v>Model product code</x:v>
      </x:c>
      <x:c r="D10" s="15" t="str">
        <x:v>Installation date</x:v>
      </x:c>
      <x:c r="E10" s="15" t="str">
        <x:v>Unit status</x:v>
      </x:c>
      <x:c r="F10" s="15" t="str">
        <x:v>Ownership</x:v>
      </x:c>
      <x:c r="G10" s="15" t="str">
        <x:v>Warranty ends</x:v>
      </x:c>
      <x:c r="H10" s="15" t="str">
        <x:v>Agreement held?</x:v>
      </x:c>
      <x:c r="I10" s="15" t="str">
        <x:v>Agreement starts</x:v>
      </x:c>
      <x:c r="J10" s="15" t="str">
        <x:v>Agreement ends</x:v>
      </x:c>
      <x:c r="K10" s="15" t="str">
        <x:v>Agreement reference</x:v>
      </x:c>
    </x:row>
    <x:row r="11" ht="68" customHeight="1">
      <x:c r="A11" s="17" t="str">
        <x:v>DEMO-EQ-A</x:v>
      </x:c>
      <x:c r="B11" s="17" t="str">
        <x:v>DEMO-C001</x:v>
      </x:c>
      <x:c r="C11" s="17" t="str">
        <x:v>DEMO-MED-P300</x:v>
      </x:c>
      <x:c r="D11" s="18" t="d">
        <x:v>2025-06-01T00:00:00.000Z</x:v>
      </x:c>
      <x:c r="E11" s="17" t="str">
        <x:v>Active</x:v>
      </x:c>
      <x:c r="F11" s="17" t="str">
        <x:v>Customer-owned</x:v>
      </x:c>
      <x:c r="G11" s="18" t="d">
        <x:v>2026-05-31T00:00:00.000Z</x:v>
      </x:c>
      <x:c r="H11" s="17" t="str">
        <x:v>Yes</x:v>
      </x:c>
      <x:c r="I11" s="18" t="d">
        <x:v>2026-06-01T00:00:00.000Z</x:v>
      </x:c>
      <x:c r="J11" s="18" t="d">
        <x:v>2027-05-31T00:00:00.000Z</x:v>
      </x:c>
      <x:c r="K11" s="17" t="str">
        <x:v>DEMO-SC-A</x:v>
      </x:c>
    </x:row>
    <x:row r="12" ht="68" customHeight="1">
      <x:c r="A12" s="17" t="str">
        <x:v>DEMO-EQ-B</x:v>
      </x:c>
      <x:c r="B12" s="17" t="str">
        <x:v>DEMO-C002</x:v>
      </x:c>
      <x:c r="C12" s="17" t="str">
        <x:v>DEMO-VAP-PF</x:v>
      </x:c>
      <x:c r="D12" s="18" t="d">
        <x:v>2020-09-15T00:00:00.000Z</x:v>
      </x:c>
      <x:c r="E12" s="17" t="str">
        <x:v>Active</x:v>
      </x:c>
      <x:c r="F12" s="17" t="str">
        <x:v>Customer-owned</x:v>
      </x:c>
      <x:c r="G12" s="18" t="d">
        <x:v>2025-09-14T00:00:00.000Z</x:v>
      </x:c>
      <x:c r="H12" s="17" t="str">
        <x:v>No</x:v>
      </x:c>
      <x:c r="I12" s="18"/>
      <x:c r="J12" s="18"/>
      <x:c r="K12" s="17"/>
    </x:row>
    <x:row r="13" ht="29" customHeight="1">
      <x:c r="A13" s="12"/>
      <x:c r="B13" s="12"/>
      <x:c r="C13" s="12"/>
      <x:c r="D13" s="19"/>
      <x:c r="E13" s="12"/>
      <x:c r="F13" s="12"/>
      <x:c r="G13" s="19"/>
      <x:c r="H13" s="12"/>
      <x:c r="I13" s="23"/>
      <x:c r="J13" s="23"/>
      <x:c r="K13" s="24"/>
    </x:row>
    <x:row r="14" ht="29" customHeight="1">
      <x:c r="A14" s="12"/>
      <x:c r="B14" s="12"/>
      <x:c r="C14" s="12"/>
      <x:c r="D14" s="19"/>
      <x:c r="E14" s="12"/>
      <x:c r="F14" s="12"/>
      <x:c r="G14" s="19"/>
      <x:c r="H14" s="12"/>
      <x:c r="I14" s="23"/>
      <x:c r="J14" s="23"/>
      <x:c r="K14" s="24"/>
    </x:row>
    <x:row r="15" ht="29" customHeight="1">
      <x:c r="A15" s="12"/>
      <x:c r="B15" s="12"/>
      <x:c r="C15" s="12"/>
      <x:c r="D15" s="19"/>
      <x:c r="E15" s="12"/>
      <x:c r="F15" s="12"/>
      <x:c r="G15" s="19"/>
      <x:c r="H15" s="12"/>
      <x:c r="I15" s="23"/>
      <x:c r="J15" s="23"/>
      <x:c r="K15" s="24"/>
    </x:row>
    <x:row r="16" ht="29" customHeight="1">
      <x:c r="A16" s="12"/>
      <x:c r="B16" s="12"/>
      <x:c r="C16" s="12"/>
      <x:c r="D16" s="19"/>
      <x:c r="E16" s="12"/>
      <x:c r="F16" s="12"/>
      <x:c r="G16" s="19"/>
      <x:c r="H16" s="12"/>
      <x:c r="I16" s="23"/>
      <x:c r="J16" s="23"/>
      <x:c r="K16" s="24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30" customHeight="1">
      <x:c r="A20" s="14" t="str">
        <x:v>AM2. Approved consumable and activity rules</x:v>
      </x:c>
      <x:c r="B20" s="13"/>
      <x:c r="C20" s="13"/>
      <x:c r="D20" s="13"/>
      <x:c r="E20" s="13"/>
      <x:c r="F20" s="13"/>
      <x:c r="G20" s="13"/>
      <x:c r="H20" s="2"/>
      <x:c r="I20" s="2"/>
      <x:c r="J20" s="2"/>
      <x:c r="K20" s="2"/>
    </x:row>
    <x:row r="21" ht="24" customHeight="1">
      <x:c r="A21" s="5" t="str">
        <x:v>TECHNICAL / MANUAL. Confirm suitability and units from approved evidence. Demo pairings and quantities are not technical or clinical instructions.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4" customHeight="1">
      <x:c r="A22" s="5" t="str">
        <x:v>Updated by: Service / technical team. Review monthly; carry forward unchanged records.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 ht="58" customHeight="1">
      <x:c r="A23" s="15" t="str">
        <x:v>Model product code</x:v>
      </x:c>
      <x:c r="B23" s="15" t="str">
        <x:v>Consumable product code</x:v>
      </x:c>
      <x:c r="C23" s="15" t="str">
        <x:v>Activity counting unit</x:v>
      </x:c>
      <x:c r="D23" s="15" t="str">
        <x:v>Consumable quantity per activity</x:v>
      </x:c>
      <x:c r="E23" s="15" t="str">
        <x:v>Consumable counting unit</x:v>
      </x:c>
      <x:c r="F23" s="15" t="str">
        <x:v>Technical evidence reference</x:v>
      </x:c>
      <x:c r="G23" s="15" t="str">
        <x:v>Last checked</x:v>
      </x:c>
      <x:c r="H23" s="2"/>
      <x:c r="I23" s="2"/>
      <x:c r="J23" s="2"/>
      <x:c r="K23" s="2"/>
    </x:row>
    <x:row r="24" ht="68" customHeight="1">
      <x:c r="A24" s="17" t="str">
        <x:v>DEMO-MED-P300</x:v>
      </x:c>
      <x:c r="B24" s="17" t="str">
        <x:v>DEMO-MED-ST10</x:v>
      </x:c>
      <x:c r="C24" s="17" t="str">
        <x:v>Procedure</x:v>
      </x:c>
      <x:c r="D24" s="17" t="n">
        <x:v>1</x:v>
      </x:c>
      <x:c r="E24" s="17" t="str">
        <x:v>piece</x:v>
      </x:c>
      <x:c r="F24" s="17" t="str">
        <x:v>DEMO assumption; verify approved setup</x:v>
      </x:c>
      <x:c r="G24" s="18" t="d">
        <x:v>2026-09-30T00:00:00.000Z</x:v>
      </x:c>
      <x:c r="H24" s="2"/>
      <x:c r="I24" s="2"/>
      <x:c r="J24" s="2"/>
      <x:c r="K24" s="2"/>
    </x:row>
    <x:row r="25" ht="68" customHeight="1">
      <x:c r="A25" s="17" t="str">
        <x:v>DEMO-VAP-PF</x:v>
      </x:c>
      <x:c r="B25" s="17" t="str">
        <x:v>DEMO-VAP-HIGH</x:v>
      </x:c>
      <x:c r="C25" s="17" t="str">
        <x:v>Treatment</x:v>
      </x:c>
      <x:c r="D25" s="17" t="n">
        <x:v>1</x:v>
      </x:c>
      <x:c r="E25" s="17" t="str">
        <x:v>piece</x:v>
      </x:c>
      <x:c r="F25" s="17" t="str">
        <x:v>DEMO assumption; verify approved setup</x:v>
      </x:c>
      <x:c r="G25" s="18" t="d">
        <x:v>2026-09-30T00:00:00.000Z</x:v>
      </x:c>
      <x:c r="H25" s="2"/>
      <x:c r="I25" s="2"/>
      <x:c r="J25" s="2"/>
      <x:c r="K25" s="2"/>
    </x:row>
    <x:row r="26" ht="29" customHeight="1">
      <x:c r="A26" s="12"/>
      <x:c r="B26" s="12"/>
      <x:c r="C26" s="12"/>
      <x:c r="D26" s="12"/>
      <x:c r="E26" s="12"/>
      <x:c r="F26" s="12"/>
      <x:c r="G26" s="19"/>
      <x:c r="H26" s="2"/>
      <x:c r="I26" s="2"/>
      <x:c r="J26" s="2"/>
      <x:c r="K26" s="2"/>
    </x:row>
    <x:row r="27" ht="29" customHeight="1">
      <x:c r="A27" s="12"/>
      <x:c r="B27" s="12"/>
      <x:c r="C27" s="12"/>
      <x:c r="D27" s="12"/>
      <x:c r="E27" s="12"/>
      <x:c r="F27" s="12"/>
      <x:c r="G27" s="19"/>
      <x:c r="H27" s="2"/>
      <x:c r="I27" s="2"/>
      <x:c r="J27" s="2"/>
      <x:c r="K27" s="2"/>
    </x:row>
    <x:row r="28" ht="29" customHeight="1">
      <x:c r="A28" s="12"/>
      <x:c r="B28" s="12"/>
      <x:c r="C28" s="12"/>
      <x:c r="D28" s="12"/>
      <x:c r="E28" s="12"/>
      <x:c r="F28" s="12"/>
      <x:c r="G28" s="19"/>
      <x:c r="H28" s="2"/>
      <x:c r="I28" s="2"/>
      <x:c r="J28" s="2"/>
      <x:c r="K28" s="2"/>
    </x:row>
    <x:row r="29" ht="29" customHeight="1">
      <x:c r="A29" s="12"/>
      <x:c r="B29" s="12"/>
      <x:c r="C29" s="12"/>
      <x:c r="D29" s="12"/>
      <x:c r="E29" s="12"/>
      <x:c r="F29" s="12"/>
      <x:c r="G29" s="19"/>
      <x:c r="H29" s="2"/>
      <x:c r="I29" s="2"/>
      <x:c r="J29" s="2"/>
      <x:c r="K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 ht="30" customHeight="1">
      <x:c r="A33" s="14" t="str">
        <x:v>AM3. Monthly equipment use and customer stock</x:v>
      </x:c>
      <x:c r="B33" s="13"/>
      <x:c r="C33" s="13"/>
      <x:c r="D33" s="13"/>
      <x:c r="E33" s="13"/>
      <x:c r="F33" s="13"/>
      <x:c r="G33" s="13"/>
      <x:c r="H33" s="13"/>
      <x:c r="I33" s="13"/>
      <x:c r="J33" s="2"/>
      <x:c r="K33" s="2"/>
    </x:row>
    <x:row r="34" ht="24" customHeight="1">
      <x:c r="A34" s="5" t="str">
        <x:v>MANUAL CUSTOMER / OPERATING DATA. Activity and capacity use the same unit. Price and sales allocation are conditional; see the notes below.</x:v>
      </x:c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 ht="24" customHeight="1">
      <x:c r="A35" s="5" t="str">
        <x:v>Updated by: Account owner with customer. Review monthly; carry forward unchanged records.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 ht="58" customHeight="1">
      <x:c r="A36" s="15" t="str">
        <x:v>Month</x:v>
      </x:c>
      <x:c r="B36" s="15" t="str">
        <x:v>Unit ID</x:v>
      </x:c>
      <x:c r="C36" s="15" t="str">
        <x:v>Consumable product code</x:v>
      </x:c>
      <x:c r="D36" s="15" t="str">
        <x:v>Activity count</x:v>
      </x:c>
      <x:c r="E36" s="15" t="str">
        <x:v>Practical activity capacity</x:v>
      </x:c>
      <x:c r="F36" s="15" t="str">
        <x:v>Customer-held quantity</x:v>
      </x:c>
      <x:c r="G36" s="15" t="str">
        <x:v>Price JOD if unavailable</x:v>
      </x:c>
      <x:c r="H36" s="15" t="str">
        <x:v>Sales allocation % if needed</x:v>
      </x:c>
      <x:c r="I36" s="15" t="str">
        <x:v>Evidence / reliability</x:v>
      </x:c>
      <x:c r="J36" s="2"/>
      <x:c r="K36" s="2"/>
    </x:row>
    <x:row r="37" ht="68" customHeight="1">
      <x:c r="A37" s="25" t="d">
        <x:v>2026-09-01T00:00:00.000Z</x:v>
      </x:c>
      <x:c r="B37" s="17" t="str">
        <x:v>DEMO-EQ-A</x:v>
      </x:c>
      <x:c r="C37" s="17" t="str">
        <x:v>DEMO-MED-ST10</x:v>
      </x:c>
      <x:c r="D37" s="17" t="n">
        <x:v>120</x:v>
      </x:c>
      <x:c r="E37" s="17" t="n">
        <x:v>160</x:v>
      </x:c>
      <x:c r="F37" s="17" t="n">
        <x:v>16</x:v>
      </x:c>
      <x:c r="G37" s="20"/>
      <x:c r="H37" s="27"/>
      <x:c r="I37" s="17" t="str">
        <x:v>DEMO activity log; customer confirmed</x:v>
      </x:c>
      <x:c r="J37" s="2"/>
      <x:c r="K37" s="2"/>
    </x:row>
    <x:row r="38" ht="68" customHeight="1">
      <x:c r="A38" s="25" t="d">
        <x:v>2026-09-01T00:00:00.000Z</x:v>
      </x:c>
      <x:c r="B38" s="17" t="str">
        <x:v>DEMO-EQ-B</x:v>
      </x:c>
      <x:c r="C38" s="17" t="str">
        <x:v>DEMO-VAP-HIGH</x:v>
      </x:c>
      <x:c r="D38" s="17" t="n">
        <x:v>24</x:v>
      </x:c>
      <x:c r="E38" s="17" t="n">
        <x:v>30</x:v>
      </x:c>
      <x:c r="F38" s="17" t="n">
        <x:v>6</x:v>
      </x:c>
      <x:c r="G38" s="20"/>
      <x:c r="H38" s="27"/>
      <x:c r="I38" s="17" t="str">
        <x:v>DEMO customer estimate; verify</x:v>
      </x:c>
      <x:c r="J38" s="2"/>
      <x:c r="K38" s="2"/>
    </x:row>
    <x:row r="39" ht="29" customHeight="1">
      <x:c r="A39" s="26"/>
      <x:c r="B39" s="12"/>
      <x:c r="C39" s="12"/>
      <x:c r="D39" s="12"/>
      <x:c r="E39" s="12"/>
      <x:c r="F39" s="12"/>
      <x:c r="G39" s="22"/>
      <x:c r="H39" s="29"/>
      <x:c r="I39" s="12"/>
      <x:c r="J39" s="2"/>
      <x:c r="K39" s="2"/>
    </x:row>
    <x:row r="40" ht="29" customHeight="1">
      <x:c r="A40" s="26"/>
      <x:c r="B40" s="12"/>
      <x:c r="C40" s="12"/>
      <x:c r="D40" s="12"/>
      <x:c r="E40" s="12"/>
      <x:c r="F40" s="12"/>
      <x:c r="G40" s="22"/>
      <x:c r="H40" s="29"/>
      <x:c r="I40" s="12"/>
      <x:c r="J40" s="2"/>
      <x:c r="K40" s="2"/>
    </x:row>
    <x:row r="41" ht="29" customHeight="1">
      <x:c r="A41" s="26"/>
      <x:c r="B41" s="12"/>
      <x:c r="C41" s="12"/>
      <x:c r="D41" s="12"/>
      <x:c r="E41" s="12"/>
      <x:c r="F41" s="12"/>
      <x:c r="G41" s="22"/>
      <x:c r="H41" s="29"/>
      <x:c r="I41" s="12"/>
      <x:c r="J41" s="2"/>
      <x:c r="K41" s="2"/>
    </x:row>
    <x:row r="42" ht="29" customHeight="1">
      <x:c r="A42" s="26"/>
      <x:c r="B42" s="12"/>
      <x:c r="C42" s="12"/>
      <x:c r="D42" s="12"/>
      <x:c r="E42" s="12"/>
      <x:c r="F42" s="12"/>
      <x:c r="G42" s="22"/>
      <x:c r="H42" s="29"/>
      <x:c r="I42" s="12"/>
      <x:c r="J42" s="2"/>
      <x:c r="K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 ht="30" customHeight="1">
      <x:c r="A46" s="14" t="str">
        <x:v>AM4. Project costs or assignments missing from Alpha</x:v>
      </x:c>
      <x:c r="B46" s="13"/>
      <x:c r="C46" s="13"/>
      <x:c r="D46" s="13"/>
      <x:c r="E46" s="13"/>
      <x:c r="F46" s="13"/>
      <x:c r="G46" s="13"/>
      <x:c r="H46" s="13"/>
      <x:c r="I46" s="2"/>
      <x:c r="J46" s="2"/>
      <x:c r="K46" s="2"/>
    </x:row>
    <x:row r="47" ht="24" customHeight="1">
      <x:c r="A47" s="5" t="str">
        <x:v>MANUAL ONLY FOR E09 GAPS. Match a unique cost reference before combining with Alpha. Enter Actual and Estimate separately.</x:v>
      </x:c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 ht="24" customHeight="1">
      <x:c r="A48" s="5" t="str">
        <x:v>Updated by: Accountant. Review monthly; carry forward unchanged records.</x:v>
      </x:c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 ht="58" customHeight="1">
      <x:c r="A49" s="15" t="str">
        <x:v>Cost reference</x:v>
      </x:c>
      <x:c r="B49" s="15" t="str">
        <x:v>Cost date</x:v>
      </x:c>
      <x:c r="C49" s="15" t="str">
        <x:v>Project / order code</x:v>
      </x:c>
      <x:c r="D49" s="15" t="str">
        <x:v>Category</x:v>
      </x:c>
      <x:c r="E49" s="15" t="str">
        <x:v>Cost type</x:v>
      </x:c>
      <x:c r="F49" s="15" t="str">
        <x:v>Actual or Estimate</x:v>
      </x:c>
      <x:c r="G49" s="15" t="str">
        <x:v>Amount (JOD)</x:v>
      </x:c>
      <x:c r="H49" s="15" t="str">
        <x:v>Source / assignment basis</x:v>
      </x:c>
      <x:c r="I49" s="2"/>
      <x:c r="J49" s="2"/>
      <x:c r="K49" s="2"/>
    </x:row>
    <x:row r="50" ht="68" customHeight="1">
      <x:c r="A50" s="17" t="str">
        <x:v>DEMO-COST-A</x:v>
      </x:c>
      <x:c r="B50" s="18" t="d">
        <x:v>2026-09-20T00:00:00.000Z</x:v>
      </x:c>
      <x:c r="C50" s="17" t="str">
        <x:v>DEMO-T-A</x:v>
      </x:c>
      <x:c r="D50" s="17" t="str">
        <x:v>Equipment</x:v>
      </x:c>
      <x:c r="E50" s="17" t="str">
        <x:v>Freight</x:v>
      </x:c>
      <x:c r="F50" s="17" t="str">
        <x:v>Actual</x:v>
      </x:c>
      <x:c r="G50" s="20" t="n">
        <x:v>600</x:v>
      </x:c>
      <x:c r="H50" s="17" t="str">
        <x:v>DEMO invoice A; excluded from ERP product cost</x:v>
      </x:c>
      <x:c r="I50" s="2"/>
      <x:c r="J50" s="2"/>
      <x:c r="K50" s="2"/>
    </x:row>
    <x:row r="51" ht="68" customHeight="1">
      <x:c r="A51" s="17" t="str">
        <x:v>DEMO-COST-B</x:v>
      </x:c>
      <x:c r="B51" s="18" t="d">
        <x:v>2026-09-22T00:00:00.000Z</x:v>
      </x:c>
      <x:c r="C51" s="17" t="str">
        <x:v>DEMO-T-B</x:v>
      </x:c>
      <x:c r="D51" s="17" t="str">
        <x:v>Devices</x:v>
      </x:c>
      <x:c r="E51" s="17" t="str">
        <x:v>Installation</x:v>
      </x:c>
      <x:c r="F51" s="17" t="str">
        <x:v>Actual</x:v>
      </x:c>
      <x:c r="G51" s="20" t="n">
        <x:v>900</x:v>
      </x:c>
      <x:c r="H51" s="17" t="str">
        <x:v>DEMO work note B; excluded from ERP product cost</x:v>
      </x:c>
      <x:c r="I51" s="2"/>
      <x:c r="J51" s="2"/>
      <x:c r="K51" s="2"/>
    </x:row>
    <x:row r="52" ht="29" customHeight="1">
      <x:c r="A52" s="12"/>
      <x:c r="B52" s="19"/>
      <x:c r="C52" s="12"/>
      <x:c r="D52" s="12"/>
      <x:c r="E52" s="12"/>
      <x:c r="F52" s="12"/>
      <x:c r="G52" s="21"/>
      <x:c r="H52" s="12"/>
      <x:c r="I52" s="2"/>
      <x:c r="J52" s="2"/>
      <x:c r="K52" s="2"/>
    </x:row>
    <x:row r="53" ht="29" customHeight="1">
      <x:c r="A53" s="12"/>
      <x:c r="B53" s="19"/>
      <x:c r="C53" s="12"/>
      <x:c r="D53" s="12"/>
      <x:c r="E53" s="12"/>
      <x:c r="F53" s="12"/>
      <x:c r="G53" s="21"/>
      <x:c r="H53" s="12"/>
      <x:c r="I53" s="2"/>
      <x:c r="J53" s="2"/>
      <x:c r="K53" s="2"/>
    </x:row>
    <x:row r="54" ht="29" customHeight="1">
      <x:c r="A54" s="12"/>
      <x:c r="B54" s="19"/>
      <x:c r="C54" s="12"/>
      <x:c r="D54" s="12"/>
      <x:c r="E54" s="12"/>
      <x:c r="F54" s="12"/>
      <x:c r="G54" s="21"/>
      <x:c r="H54" s="12"/>
      <x:c r="I54" s="2"/>
      <x:c r="J54" s="2"/>
      <x:c r="K54" s="2"/>
    </x:row>
    <x:row r="55" ht="29" customHeight="1">
      <x:c r="A55" s="12"/>
      <x:c r="B55" s="19"/>
      <x:c r="C55" s="12"/>
      <x:c r="D55" s="12"/>
      <x:c r="E55" s="12"/>
      <x:c r="F55" s="12"/>
      <x:c r="G55" s="21"/>
      <x:c r="H55" s="12"/>
      <x:c r="I55" s="2"/>
      <x:c r="J55" s="2"/>
      <x:c r="K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 ht="30" customHeight="1">
      <x:c r="A59" s="14" t="str">
        <x:v>AM5. Monthly department results</x:v>
      </x:c>
      <x:c r="B59" s="13"/>
      <x:c r="C59" s="13"/>
      <x:c r="D59" s="13"/>
      <x:c r="E59" s="13"/>
      <x:c r="F59" s="13"/>
      <x:c r="G59" s="13"/>
      <x:c r="H59" s="2"/>
      <x:c r="I59" s="2"/>
      <x:c r="J59" s="2"/>
      <x:c r="K59" s="2"/>
    </x:row>
    <x:row r="60" ht="24" customHeight="1">
      <x:c r="A60" s="5" t="str">
        <x:v>COUNTS MANUAL IF E12/E13 ARE UNAVAILABLE. Management confirms targets. Ratios need both counts; report figures are calculated.</x:v>
      </x:c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  <x:row r="61" ht="24" customHeight="1">
      <x:c r="A61" s="5" t="str">
        <x:v>Updated by: Service / tender / HR lead. Review monthly; carry forward unchanged records.</x:v>
      </x:c>
      <x:c r="B61" s="2"/>
      <x:c r="C61" s="2"/>
      <x:c r="D61" s="2"/>
      <x:c r="E61" s="2"/>
      <x:c r="F61" s="2"/>
      <x:c r="G61" s="2"/>
      <x:c r="H61" s="2"/>
      <x:c r="I61" s="2"/>
      <x:c r="J61" s="2"/>
      <x:c r="K61" s="2"/>
    </x:row>
    <x:row r="62" ht="58" customHeight="1">
      <x:c r="A62" s="15" t="str">
        <x:v>Month</x:v>
      </x:c>
      <x:c r="B62" s="15" t="str">
        <x:v>Indicator</x:v>
      </x:c>
      <x:c r="C62" s="15" t="str">
        <x:v>Count meeting target / vacancy days</x:v>
      </x:c>
      <x:c r="D62" s="15" t="str">
        <x:v>Total checked for a rate</x:v>
      </x:c>
      <x:c r="E62" s="15" t="str">
        <x:v>Target (% or days)</x:v>
      </x:c>
      <x:c r="F62" s="15" t="str">
        <x:v>Evidence reference</x:v>
      </x:c>
      <x:c r="G62" s="15" t="str">
        <x:v>Calculated result (% or days)</x:v>
      </x:c>
      <x:c r="H62" s="2"/>
      <x:c r="I62" s="2"/>
      <x:c r="J62" s="2"/>
      <x:c r="K62" s="2"/>
    </x:row>
    <x:row r="63" ht="68" customHeight="1">
      <x:c r="A63" s="25" t="d">
        <x:v>2026-09-01T00:00:00.000Z</x:v>
      </x:c>
      <x:c r="B63" s="17" t="str">
        <x:v>Support responses on time</x:v>
      </x:c>
      <x:c r="C63" s="17" t="n">
        <x:v>42</x:v>
      </x:c>
      <x:c r="D63" s="17" t="n">
        <x:v>50</x:v>
      </x:c>
      <x:c r="E63" s="17" t="n">
        <x:v>95</x:v>
      </x:c>
      <x:c r="F63" s="17" t="str">
        <x:v>DEMO cases opened in September</x:v>
      </x:c>
      <x:c r="G63" s="32" t="n">
        <x:f>IF(B63="","",IF(OR(B63="Oldest critical vacancy days",B63="Open support cases"),IF(ISNUMBER(C63),C63,"Data missing"),IF(AND(ISNUMBER(C63),ISNUMBER(D63),D63&gt;0),IF(C63&lt;=D63,C63/D63*100,"Check counts"),"Data missing")))</x:f>
        <x:v>84</x:v>
      </x:c>
      <x:c r="H63" s="2"/>
      <x:c r="I63" s="2"/>
      <x:c r="J63" s="2"/>
      <x:c r="K63" s="2"/>
    </x:row>
    <x:row r="64" ht="68" customHeight="1">
      <x:c r="A64" s="25" t="d">
        <x:v>2026-09-01T00:00:00.000Z</x:v>
      </x:c>
      <x:c r="B64" s="17" t="str">
        <x:v>Documents complete at first review</x:v>
      </x:c>
      <x:c r="C64" s="17" t="n">
        <x:v>19</x:v>
      </x:c>
      <x:c r="D64" s="17" t="n">
        <x:v>25</x:v>
      </x:c>
      <x:c r="E64" s="17" t="n">
        <x:v>98</x:v>
      </x:c>
      <x:c r="F64" s="17" t="str">
        <x:v>DEMO September first-review log</x:v>
      </x:c>
      <x:c r="G64" s="32" t="n">
        <x:f>IF(B64="","",IF(OR(B64="Oldest critical vacancy days",B64="Open support cases"),IF(ISNUMBER(C64),C64,"Data missing"),IF(AND(ISNUMBER(C64),ISNUMBER(D64),D64&gt;0),IF(C64&lt;=D64,C64/D64*100,"Check counts"),"Data missing")))</x:f>
        <x:v>76</x:v>
      </x:c>
      <x:c r="H64" s="2"/>
      <x:c r="I64" s="2"/>
      <x:c r="J64" s="2"/>
      <x:c r="K64" s="2"/>
    </x:row>
    <x:row r="65" ht="29" customHeight="1">
      <x:c r="A65" s="26"/>
      <x:c r="B65" s="12"/>
      <x:c r="C65" s="12"/>
      <x:c r="D65" s="12"/>
      <x:c r="E65" s="12"/>
      <x:c r="F65" s="12"/>
      <x:c r="G65" s="32" t="str">
        <x:f>IF(B65="","",IF(OR(B65="Oldest critical vacancy days",B65="Open support cases"),IF(ISNUMBER(C65),C65,"Data missing"),IF(AND(ISNUMBER(C65),ISNUMBER(D65),D65&gt;0),IF(C65&lt;=D65,C65/D65*100,"Check counts"),"Data missing")))</x:f>
      </x:c>
      <x:c r="H65" s="2"/>
      <x:c r="I65" s="2"/>
      <x:c r="J65" s="2"/>
      <x:c r="K65" s="2"/>
    </x:row>
    <x:row r="66" ht="29" customHeight="1">
      <x:c r="A66" s="26"/>
      <x:c r="B66" s="12"/>
      <x:c r="C66" s="12"/>
      <x:c r="D66" s="12"/>
      <x:c r="E66" s="12"/>
      <x:c r="F66" s="12"/>
      <x:c r="G66" s="32" t="str">
        <x:f>IF(B66="","",IF(OR(B66="Oldest critical vacancy days",B66="Open support cases"),IF(ISNUMBER(C66),C66,"Data missing"),IF(AND(ISNUMBER(C66),ISNUMBER(D66),D66&gt;0),IF(C66&lt;=D66,C66/D66*100,"Check counts"),"Data missing")))</x:f>
      </x:c>
      <x:c r="H66" s="2"/>
      <x:c r="I66" s="2"/>
      <x:c r="J66" s="2"/>
      <x:c r="K66" s="2"/>
    </x:row>
    <x:row r="67" ht="29" customHeight="1">
      <x:c r="A67" s="26"/>
      <x:c r="B67" s="12"/>
      <x:c r="C67" s="12"/>
      <x:c r="D67" s="12"/>
      <x:c r="E67" s="12"/>
      <x:c r="F67" s="12"/>
      <x:c r="G67" s="32" t="str">
        <x:f>IF(B67="","",IF(OR(B67="Oldest critical vacancy days",B67="Open support cases"),IF(ISNUMBER(C67),C67,"Data missing"),IF(AND(ISNUMBER(C67),ISNUMBER(D67),D67&gt;0),IF(C67&lt;=D67,C67/D67*100,"Check counts"),"Data missing")))</x:f>
      </x:c>
      <x:c r="H67" s="2"/>
      <x:c r="I67" s="2"/>
      <x:c r="J67" s="2"/>
      <x:c r="K67" s="2"/>
    </x:row>
    <x:row r="68" ht="29" customHeight="1">
      <x:c r="A68" s="26"/>
      <x:c r="B68" s="12"/>
      <x:c r="C68" s="12"/>
      <x:c r="D68" s="12"/>
      <x:c r="E68" s="12"/>
      <x:c r="F68" s="12"/>
      <x:c r="G68" s="32" t="str">
        <x:f>IF(B68="","",IF(OR(B68="Oldest critical vacancy days",B68="Open support cases"),IF(ISNUMBER(C68),C68,"Data missing"),IF(AND(ISNUMBER(C68),ISNUMBER(D68),D68&gt;0),IF(C68&lt;=D68,C68/D68*100,"Check counts"),"Data missing")))</x:f>
      </x:c>
      <x:c r="H68" s="2"/>
      <x:c r="I68" s="2"/>
      <x:c r="J68" s="2"/>
      <x:c r="K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 ht="24" customHeight="1">
      <x:c r="A72" s="5" t="str">
        <x:v>AM3 price: use a matching customer/product price from Alpha first. If missing, enter a confirmed quote price and its evidence.</x:v>
      </x:c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  <x:row r="73" ht="24" customHeight="1">
      <x:c r="A73" s="5" t="str">
        <x:v>AM3 allocation: use direct unit links first. If one customer/product serves several units, use confirmed shares totalling 100% or an approved rule.</x:v>
      </x:c>
      <x:c r="B73" s="2"/>
      <x:c r="C73" s="2"/>
      <x:c r="D73" s="2"/>
      <x:c r="E73" s="2"/>
      <x:c r="F73" s="2"/>
      <x:c r="G73" s="2"/>
      <x:c r="H73" s="2"/>
      <x:c r="I73" s="2"/>
      <x:c r="J73" s="2"/>
      <x:c r="K73" s="2"/>
    </x:row>
    <x:row r="74" ht="24" customHeight="1">
      <x:c r="A74" s="5" t="str">
        <x:v>Never attach the full customer purchase amount to every unit. Unallocated purchases stay at customer level. Repeat activity/capacity consistently per unit.</x:v>
      </x:c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 ht="24" customHeight="1">
      <x:c r="A75" s="5" t="str">
        <x:v>AM5: use cases OPENED in the month. Evidence must identify the first-response time limit and the agreed calendar-hours or business-hours rule.</x:v>
      </x:c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 ht="24" customHeight="1">
      <x:c r="A76" s="5" t="str">
        <x:v>Vacancy days means the oldest critical unfilled role at month end. Open support cases is a month-end count; leave the rate denominator blank.</x:v>
      </x:c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</x:row>
    <x:row r="91" ht="24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</x:row>
    <x:row r="92" ht="24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</x:row>
    <x:row r="93" ht="24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</x:row>
    <x:row r="94" ht="24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</x:row>
    <x:row r="95" ht="24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</x:row>
    <x:row r="96" ht="24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</x:row>
    <x:row r="97" ht="24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</x:row>
    <x:row r="98" ht="24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</x:row>
    <x:row r="99" ht="24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</x:row>
    <x:row r="100" ht="24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</x:row>
    <x:row r="101" ht="24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</x:row>
    <x:row r="102" ht="24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</x:row>
    <x:row r="103" ht="24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</x:row>
    <x:row r="104" ht="24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</x:row>
    <x:row r="105" ht="24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</x:row>
    <x:row r="106" ht="24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</x:row>
    <x:row r="107" ht="24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</x:row>
    <x:row r="108" ht="24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</x:row>
    <x:row r="109" ht="24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</x:row>
    <x:row r="110" ht="24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</x:row>
    <x:row r="111" ht="24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</x:row>
    <x:row r="112" ht="24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</x:row>
    <x:row r="113" ht="24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</x:row>
    <x:row r="114" ht="24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</x:row>
    <x:row r="115" ht="24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</x:row>
    <x:row r="116" ht="24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</x:row>
    <x:row r="117" ht="24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</x:row>
    <x:row r="118" ht="24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</x:row>
    <x:row r="119" ht="24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</x:row>
    <x:row r="120" ht="24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</x:row>
    <x:row r="121" ht="24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</x:row>
    <x:row r="122" ht="24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</x:row>
    <x:row r="123" ht="24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</x:row>
    <x:row r="124" ht="24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</x:row>
    <x:row r="125" ht="24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</x:row>
    <x:row r="126" ht="24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</x:row>
    <x:row r="127" ht="24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</x:row>
    <x:row r="128" ht="24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</x:row>
    <x:row r="129" ht="24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</x:row>
    <x:row r="130" ht="24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</x:row>
    <x:row r="131" ht="24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</x:row>
    <x:row r="132" ht="24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</x:row>
    <x:row r="133" ht="24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</x:row>
    <x:row r="134" ht="24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</x:row>
    <x:row r="135" ht="24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</x:row>
    <x:row r="136" ht="24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</x:row>
    <x:row r="137" ht="24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</x:row>
    <x:row r="138" ht="24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</x:row>
    <x:row r="139" ht="24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</x:row>
    <x:row r="140" ht="24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</x:row>
    <x:row r="141" ht="24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</x:row>
    <x:row r="142" ht="24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</x:row>
    <x:row r="143" ht="24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</x:row>
    <x:row r="144" ht="24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</x:row>
    <x:row r="145" ht="24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</x:row>
    <x:row r="146" ht="24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</x:row>
    <x:row r="147" ht="24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</x:row>
    <x:row r="148" ht="24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</x:row>
    <x:row r="149" ht="24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</x:row>
    <x:row r="150" ht="24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</x:row>
  </x:sheetData>
  <x:dataValidations count="17">
    <x:dataValidation type="list" sqref="E11:E16">
      <x:formula1>"Active,Inactive,Removed"</x:formula1>
    </x:dataValidation>
    <x:dataValidation type="list" sqref="F11:F16">
      <x:formula1>"Customer-owned,Sadaf-owned,Rental,Other"</x:formula1>
    </x:dataValidation>
    <x:dataValidation type="list" sqref="H11:H16">
      <x:formula1>"Yes,No,Unknown"</x:formula1>
    </x:dataValidation>
    <x:dataValidation type="decimal" operator="greaterThanOrEqual" sqref="D24:D29">
      <x:formula1>0</x:formula1>
    </x:dataValidation>
    <x:dataValidation type="decimal" operator="greaterThanOrEqual" sqref="D37:D42">
      <x:formula1>0</x:formula1>
    </x:dataValidation>
    <x:dataValidation type="decimal" operator="greaterThanOrEqual" sqref="E37:E42">
      <x:formula1>0</x:formula1>
    </x:dataValidation>
    <x:dataValidation type="decimal" operator="greaterThanOrEqual" sqref="F37:F42">
      <x:formula1>0</x:formula1>
    </x:dataValidation>
    <x:dataValidation type="decimal" operator="greaterThanOrEqual" sqref="G37:G42">
      <x:formula1>0</x:formula1>
    </x:dataValidation>
    <x:dataValidation type="decimal" operator="between" sqref="H37:H42">
      <x:formula1>0</x:formula1>
      <x:formula2>1</x:formula2>
    </x:dataValidation>
    <x:dataValidation type="list" sqref="D50:D55">
      <x:formula1>"Equipment,Devices,Consumables,Mixed"</x:formula1>
    </x:dataValidation>
    <x:dataValidation type="list" sqref="E50:E55">
      <x:formula1>"Freight,Urgent freight,Installation,Training,Warranty,Service,Other"</x:formula1>
    </x:dataValidation>
    <x:dataValidation type="list" sqref="F50:F55">
      <x:formula1>"Actual,Estimate"</x:formula1>
    </x:dataValidation>
    <x:dataValidation type="decimal" operator="greaterThanOrEqual" sqref="G50:G55">
      <x:formula1>0</x:formula1>
    </x:dataValidation>
    <x:dataValidation type="list" sqref="B63:B68">
      <x:formula1>"Support responses on time,Documents complete at first review,Oldest critical vacancy days,Open support cases"</x:formula1>
    </x:dataValidation>
    <x:dataValidation type="decimal" operator="greaterThanOrEqual" sqref="C63:C68">
      <x:formula1>0</x:formula1>
    </x:dataValidation>
    <x:dataValidation type="decimal" operator="greaterThanOrEqual" sqref="D63:D68">
      <x:formula1>0</x:formula1>
    </x:dataValidation>
    <x:dataValidation type="decimal" operator="greaterThanOrEqual" sqref="E63:E68">
      <x:formula1>0</x:formula1>
    </x:dataValidation>
  </x:dataValidations>
  <x:pageMargins left="0.7" right="0.7" top="0.75" bottom="0.75" header="0.3" footer="0.3"/>
  <x:tableParts count="5">
    <x:tablePart xmlns:r="http://schemas.openxmlformats.org/officeDocument/2006/relationships" r:id="R33a9a44d99ef4049"/>
    <x:tablePart xmlns:r="http://schemas.openxmlformats.org/officeDocument/2006/relationships" r:id="Rbf0b180b6b0148a6"/>
    <x:tablePart xmlns:r="http://schemas.openxmlformats.org/officeDocument/2006/relationships" r:id="R58225bd266b34f5e"/>
    <x:tablePart xmlns:r="http://schemas.openxmlformats.org/officeDocument/2006/relationships" r:id="Re8fa41fadd524aae"/>
    <x:tablePart xmlns:r="http://schemas.openxmlformats.org/officeDocument/2006/relationships" r:id="Rdc25f1bb859f4186"/>
  </x:tableParts>
</x:worksheet>
</file>

<file path=xl/worksheets/sheet8.xml><?xml version="1.0" encoding="utf-8"?>
<x:worksheet xmlns:x="http://schemas.openxmlformats.org/spreadsheetml/2006/main">
  <x:sheetPr>
    <x:tabColor rgb="FF26374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5" hidden="0" customWidth="1"/>
    <x:col min="2" max="2" width="27" hidden="0" customWidth="1"/>
    <x:col min="3" max="3" width="27" hidden="0" customWidth="1"/>
    <x:col min="4" max="4" width="4" hidden="0" customWidth="1"/>
    <x:col min="5" max="5" width="84" hidden="0" customWidth="1"/>
  </x:cols>
  <x:sheetData>
    <x:row r="1" ht="24" customHeight="1">
      <x:c r="A1" s="2"/>
      <x:c r="B1" s="2"/>
      <x:c r="C1" s="2"/>
      <x:c r="D1" s="2"/>
      <x:c r="E1" s="2"/>
    </x:row>
    <x:row r="2" ht="33" customHeight="1">
      <x:c r="A2" s="3" t="str">
        <x:v>Worked examples: Basic and Advanced</x:v>
      </x:c>
      <x:c r="B2" s="2"/>
      <x:c r="C2" s="2"/>
      <x:c r="D2" s="2"/>
      <x:c r="E2" s="2"/>
    </x:row>
    <x:row r="3" ht="24" customHeight="1">
      <x:c r="A3" s="2"/>
      <x:c r="B3" s="2"/>
      <x:c r="C3" s="2"/>
      <x:c r="D3" s="2"/>
      <x:c r="E3" s="2"/>
    </x:row>
    <x:row r="4" ht="24" customHeight="1">
      <x:c r="A4" s="4" t="str">
        <x:v>Fictional September 2026 records; balances and stock are checked at 08-Oct-2026. Each project and unit is matched by code.</x:v>
      </x:c>
      <x:c r="B4" s="2"/>
      <x:c r="C4" s="2"/>
      <x:c r="D4" s="2"/>
      <x:c r="E4" s="2"/>
    </x:row>
    <x:row r="5" ht="24" customHeight="1">
      <x:c r="A5" s="2"/>
      <x:c r="B5" s="2"/>
      <x:c r="C5" s="2"/>
      <x:c r="D5" s="2"/>
      <x:c r="E5" s="2"/>
    </x:row>
    <x:row r="6" ht="31" customHeight="1">
      <x:c r="A6" s="7" t="str">
        <x:v>Measure</x:v>
      </x:c>
      <x:c r="B6" s="7" t="str">
        <x:v>Demo Hospital A</x:v>
      </x:c>
      <x:c r="C6" s="7" t="str">
        <x:v>Demo Hospital B</x:v>
      </x:c>
      <x:c r="D6" s="2"/>
      <x:c r="E6" s="2" t="str">
        <x:v>Meaning / source</x:v>
      </x:c>
    </x:row>
    <x:row r="7" ht="34" customHeight="1">
      <x:c r="A7" s="38" t="str">
        <x:v>Example ERP values (not manual inputs)</x:v>
      </x:c>
      <x:c r="B7" s="13"/>
      <x:c r="C7" s="13"/>
      <x:c r="D7" s="2"/>
      <x:c r="E7" s="39"/>
    </x:row>
    <x:row r="8" ht="34" customHeight="1">
      <x:c r="A8" s="33" t="str">
        <x:v>Customer code</x:v>
      </x:c>
      <x:c r="B8" s="34" t="str">
        <x:v>DEMO-C001</x:v>
      </x:c>
      <x:c r="C8" s="34" t="str">
        <x:v>DEMO-C002</x:v>
      </x:c>
      <x:c r="D8" s="2"/>
      <x:c r="E8" s="39"/>
    </x:row>
    <x:row r="9" ht="34" customHeight="1">
      <x:c r="A9" s="33" t="str">
        <x:v>Project code</x:v>
      </x:c>
      <x:c r="B9" s="34" t="str">
        <x:v>DEMO-T-A</x:v>
      </x:c>
      <x:c r="C9" s="34" t="str">
        <x:v>DEMO-T-B</x:v>
      </x:c>
      <x:c r="D9" s="2"/>
      <x:c r="E9" s="39"/>
    </x:row>
    <x:row r="10" ht="34" customHeight="1">
      <x:c r="A10" s="33" t="str">
        <x:v>Unit ID</x:v>
      </x:c>
      <x:c r="B10" s="34" t="str">
        <x:v>DEMO-EQ-A</x:v>
      </x:c>
      <x:c r="C10" s="34" t="str">
        <x:v>DEMO-EQ-B</x:v>
      </x:c>
      <x:c r="D10" s="2"/>
      <x:c r="E10" s="39"/>
    </x:row>
    <x:row r="11" ht="34" customHeight="1">
      <x:c r="A11" s="33" t="str">
        <x:v>Model product code</x:v>
      </x:c>
      <x:c r="B11" s="34" t="str">
        <x:v>DEMO-MED-P300</x:v>
      </x:c>
      <x:c r="C11" s="34" t="str">
        <x:v>DEMO-VAP-PF</x:v>
      </x:c>
      <x:c r="D11" s="2"/>
      <x:c r="E11" s="39"/>
    </x:row>
    <x:row r="12" ht="34" customHeight="1">
      <x:c r="A12" s="33" t="str">
        <x:v>Consumable product code</x:v>
      </x:c>
      <x:c r="B12" s="34" t="str">
        <x:v>DEMO-MED-ST10</x:v>
      </x:c>
      <x:c r="C12" s="34" t="str">
        <x:v>DEMO-VAP-HIGH</x:v>
      </x:c>
      <x:c r="D12" s="2"/>
      <x:c r="E12" s="39"/>
    </x:row>
    <x:row r="13" ht="34" customHeight="1">
      <x:c r="A13" s="33" t="str">
        <x:v>Month start</x:v>
      </x:c>
      <x:c r="B13" s="35" t="d">
        <x:v>2026-09-01T00:00:00.000Z</x:v>
      </x:c>
      <x:c r="C13" s="35" t="d">
        <x:v>2026-09-01T00:00:00.000Z</x:v>
      </x:c>
      <x:c r="D13" s="2"/>
      <x:c r="E13" s="39"/>
    </x:row>
    <x:row r="14" ht="34" customHeight="1">
      <x:c r="A14" s="33" t="str">
        <x:v>Month end</x:v>
      </x:c>
      <x:c r="B14" s="35" t="d">
        <x:v>2026-09-30T00:00:00.000Z</x:v>
      </x:c>
      <x:c r="C14" s="35" t="d">
        <x:v>2026-09-30T00:00:00.000Z</x:v>
      </x:c>
      <x:c r="D14" s="2"/>
      <x:c r="E14" s="39"/>
    </x:row>
    <x:row r="15" ht="34" customHeight="1">
      <x:c r="A15" s="33" t="str">
        <x:v>Balance / stock snapshot</x:v>
      </x:c>
      <x:c r="B15" s="35" t="d">
        <x:v>2026-10-08T00:00:00.000Z</x:v>
      </x:c>
      <x:c r="C15" s="35" t="d">
        <x:v>2026-10-08T00:00:00.000Z</x:v>
      </x:c>
      <x:c r="D15" s="2"/>
      <x:c r="E15" s="39"/>
    </x:row>
    <x:row r="16" ht="34" customHeight="1">
      <x:c r="A16" s="33"/>
      <x:c r="B16" s="34"/>
      <x:c r="C16" s="34"/>
      <x:c r="D16" s="2"/>
      <x:c r="E16" s="39"/>
    </x:row>
    <x:row r="17" ht="49" customHeight="1">
      <x:c r="A17" s="33" t="str">
        <x:v>Project sales (JOD)</x:v>
      </x:c>
      <x:c r="B17" s="40" t="n">
        <x:v>24000</x:v>
      </x:c>
      <x:c r="C17" s="40" t="n">
        <x:v>30000</x:v>
      </x:c>
      <x:c r="D17" s="2"/>
      <x:c r="E17" s="39" t="str">
        <x:v>E03. Two delivered equipment/device projects; these are not whole-company sales.</x:v>
      </x:c>
    </x:row>
    <x:row r="18" ht="34" customHeight="1">
      <x:c r="A18" s="33" t="str">
        <x:v>Project product cost (JOD)</x:v>
      </x:c>
      <x:c r="B18" s="40" t="n">
        <x:v>18000</x:v>
      </x:c>
      <x:c r="C18" s="40" t="n">
        <x:v>21000</x:v>
      </x:c>
      <x:c r="D18" s="2"/>
      <x:c r="E18" s="39" t="str">
        <x:v>E03. Excludes the additional freight/installation in AM4.</x:v>
      </x:c>
    </x:row>
    <x:row r="19" ht="34" customHeight="1">
      <x:c r="A19" s="33" t="str">
        <x:v>Project receipts in September (JOD)</x:v>
      </x:c>
      <x:c r="B19" s="40" t="n">
        <x:v>16800</x:v>
      </x:c>
      <x:c r="C19" s="40" t="n">
        <x:v>21000</x:v>
      </x:c>
      <x:c r="D19" s="2"/>
      <x:c r="E19" s="39" t="str">
        <x:v>E04. Receipts allocated to these projects in this example.</x:v>
      </x:c>
    </x:row>
    <x:row r="20" ht="34" customHeight="1">
      <x:c r="A20" s="33" t="str">
        <x:v>Outstanding at snapshot (JOD)</x:v>
      </x:c>
      <x:c r="B20" s="40" t="n">
        <x:v>7200</x:v>
      </x:c>
      <x:c r="C20" s="40" t="n">
        <x:v>9000</x:v>
      </x:c>
      <x:c r="D20" s="2"/>
      <x:c r="E20" s="39" t="str">
        <x:v>E05. Separate invoice balances; not estimated from current-month sales.</x:v>
      </x:c>
    </x:row>
    <x:row r="21" ht="49" customHeight="1">
      <x:c r="A21" s="33" t="str">
        <x:v>Invoice contractual due date</x:v>
      </x:c>
      <x:c r="B21" s="35" t="d">
        <x:v>2026-09-28T00:00:00.000Z</x:v>
      </x:c>
      <x:c r="C21" s="35" t="d">
        <x:v>2026-10-20T00:00:00.000Z</x:v>
      </x:c>
      <x:c r="D21" s="2"/>
      <x:c r="E21" s="39" t="str">
        <x:v>E05. The promised payment date in BW1 does not replace the contractual due date.</x:v>
      </x:c>
    </x:row>
    <x:row r="22" ht="34" customHeight="1">
      <x:c r="A22" s="33" t="str">
        <x:v>Consumables purchased (pieces)</x:v>
      </x:c>
      <x:c r="B22" s="40" t="n">
        <x:v>80</x:v>
      </x:c>
      <x:c r="C22" s="40" t="n">
        <x:v>12</x:v>
      </x:c>
      <x:c r="D22" s="2"/>
      <x:c r="E22" s="39" t="str">
        <x:v>E03. September net quantities. One unit per customer/product in these examples.</x:v>
      </x:c>
    </x:row>
    <x:row r="23" ht="34" customHeight="1">
      <x:c r="A23" s="33" t="str">
        <x:v>Consumable sales (JOD)</x:v>
      </x:c>
      <x:c r="B23" s="40" t="n">
        <x:v>240</x:v>
      </x:c>
      <x:c r="C23" s="40" t="n">
        <x:v>600</x:v>
      </x:c>
      <x:c r="D23" s="2"/>
      <x:c r="E23" s="39" t="str">
        <x:v>E03. Separate consumable transactions; counted once in Consumables.</x:v>
      </x:c>
    </x:row>
    <x:row r="24" ht="34" customHeight="1">
      <x:c r="A24" s="33" t="str">
        <x:v>Consumable product cost (JOD)</x:v>
      </x:c>
      <x:c r="B24" s="40" t="n">
        <x:v>144</x:v>
      </x:c>
      <x:c r="C24" s="40" t="n">
        <x:v>360</x:v>
      </x:c>
      <x:c r="D24" s="2"/>
      <x:c r="E24" s="39" t="str">
        <x:v>E03. For the same consumable transactions.</x:v>
      </x:c>
    </x:row>
    <x:row r="25" ht="34" customHeight="1">
      <x:c r="A25" s="33" t="str">
        <x:v>Comparison price (JOD / piece)</x:v>
      </x:c>
      <x:c r="B25" s="40" t="n">
        <x:v>3</x:v>
      </x:c>
      <x:c r="C25" s="40" t="n">
        <x:v>50</x:v>
      </x:c>
      <x:c r="D25" s="2"/>
      <x:c r="E25" s="39" t="str">
        <x:v>E03. One matching unit price for estimated demand and purchase comparison.</x:v>
      </x:c>
    </x:row>
    <x:row r="26" ht="34" customHeight="1">
      <x:c r="A26" s="33" t="str">
        <x:v>Warehouse quantity (pieces)</x:v>
      </x:c>
      <x:c r="B26" s="40" t="n">
        <x:v>600</x:v>
      </x:c>
      <x:c r="C26" s="40" t="n">
        <x:v>80</x:v>
      </x:c>
      <x:c r="D26" s="2"/>
      <x:c r="E26" s="39" t="str">
        <x:v>E06. Warehouse stock is different from stock held by a customer.</x:v>
      </x:c>
    </x:row>
    <x:row r="27" ht="34" customHeight="1">
      <x:c r="A27" s="33" t="str">
        <x:v>Warehouse unit cost (JOD)</x:v>
      </x:c>
      <x:c r="B27" s="40" t="n">
        <x:v>1.8</x:v>
      </x:c>
      <x:c r="C27" s="40" t="n">
        <x:v>30</x:v>
      </x:c>
      <x:c r="D27" s="2"/>
      <x:c r="E27" s="39" t="str">
        <x:v>E06. Same counting unit as quantity.</x:v>
      </x:c>
    </x:row>
    <x:row r="28" ht="34" customHeight="1">
      <x:c r="A28" s="33" t="str">
        <x:v>Batch expiry date</x:v>
      </x:c>
      <x:c r="B28" s="35" t="d">
        <x:v>2027-12-31T00:00:00.000Z</x:v>
      </x:c>
      <x:c r="C28" s="35" t="d">
        <x:v>2026-12-15T00:00:00.000Z</x:v>
      </x:c>
      <x:c r="D28" s="2"/>
      <x:c r="E28" s="39" t="str">
        <x:v>E06 or BW2. Single-batch illustration.</x:v>
      </x:c>
    </x:row>
    <x:row r="29" ht="34" customHeight="1">
      <x:c r="A29" s="33" t="str">
        <x:v>Average daily issues (pieces)</x:v>
      </x:c>
      <x:c r="B29" s="40" t="n">
        <x:v>5</x:v>
      </x:c>
      <x:c r="C29" s="40" t="n">
        <x:v>0.8333333333333334</x:v>
      </x:c>
      <x:c r="D29" s="2"/>
      <x:c r="E29" s="39" t="str">
        <x:v>E07. Illustrative historical rates; transfers/adjustments are excluded.</x:v>
      </x:c>
    </x:row>
    <x:row r="30" ht="34" customHeight="1">
      <x:c r="A30" s="33"/>
      <x:c r="B30" s="2"/>
      <x:c r="C30" s="2"/>
      <x:c r="D30" s="2"/>
      <x:c r="E30" s="39"/>
    </x:row>
    <x:row r="31" ht="34" customHeight="1">
      <x:c r="A31" s="33"/>
      <x:c r="B31" s="2"/>
      <x:c r="C31" s="2"/>
      <x:c r="D31" s="2"/>
      <x:c r="E31" s="39"/>
    </x:row>
    <x:row r="32" ht="34" customHeight="1">
      <x:c r="A32" s="38" t="str">
        <x:v>Illustrative management assumptions</x:v>
      </x:c>
      <x:c r="B32" s="13"/>
      <x:c r="C32" s="13"/>
      <x:c r="D32" s="2"/>
      <x:c r="E32" s="39"/>
    </x:row>
    <x:row r="33" ht="34" customHeight="1">
      <x:c r="A33" s="33" t="str">
        <x:v>Share of gap that could be won</x:v>
      </x:c>
      <x:c r="B33" s="36" t="n">
        <x:v>0.4</x:v>
      </x:c>
      <x:c r="C33" s="2"/>
      <x:c r="D33" s="2"/>
      <x:c r="E33" s="39" t="str">
        <x:v>BM2 in a live pack. A scenario choice, not a probability inferred from the data.</x:v>
      </x:c>
    </x:row>
    <x:row r="34" ht="34" customHeight="1">
      <x:c r="A34" s="33" t="str">
        <x:v>Extra-sales margin after direct costs</x:v>
      </x:c>
      <x:c r="B34" s="36" t="n">
        <x:v>0.3</x:v>
      </x:c>
      <x:c r="C34" s="2"/>
      <x:c r="D34" s="2"/>
      <x:c r="E34" s="39" t="str">
        <x:v>BM2. Assumed contribution margin, excluding overhead, tax and financing.</x:v>
      </x:c>
    </x:row>
    <x:row r="35" ht="34" customHeight="1">
      <x:c r="A35" s="33" t="str">
        <x:v>Equipment age review threshold (years)</x:v>
      </x:c>
      <x:c r="B35" s="16" t="n">
        <x:v>5</x:v>
      </x:c>
      <x:c r="C35" s="2"/>
      <x:c r="D35" s="2"/>
      <x:c r="E35" s="39" t="str">
        <x:v>BM2. Review signal only, not a required replacement age.</x:v>
      </x:c>
    </x:row>
    <x:row r="36" ht="34" customHeight="1">
      <x:c r="A36" s="33" t="str">
        <x:v>Agreement renewal warning (days)</x:v>
      </x:c>
      <x:c r="B36" s="16" t="n">
        <x:v>30</x:v>
      </x:c>
      <x:c r="C36" s="2"/>
      <x:c r="D36" s="2"/>
      <x:c r="E36" s="39" t="str">
        <x:v>BM2. Contracts within the warning window still count as covered until expiry.</x:v>
      </x:c>
    </x:row>
    <x:row r="37" ht="34" customHeight="1">
      <x:c r="A37" s="33"/>
      <x:c r="B37" s="2"/>
      <x:c r="C37" s="2"/>
      <x:c r="D37" s="2"/>
      <x:c r="E37" s="39"/>
    </x:row>
    <x:row r="38" ht="34" customHeight="1">
      <x:c r="A38" s="33"/>
      <x:c r="B38" s="2"/>
      <x:c r="C38" s="2"/>
      <x:c r="D38" s="2"/>
      <x:c r="E38" s="39"/>
    </x:row>
    <x:row r="39" ht="34" customHeight="1">
      <x:c r="A39" s="33"/>
      <x:c r="B39" s="2"/>
      <x:c r="C39" s="2"/>
      <x:c r="D39" s="2"/>
      <x:c r="E39" s="39"/>
    </x:row>
    <x:row r="40" ht="34" customHeight="1">
      <x:c r="A40" s="38" t="str">
        <x:v>Basic report calculations</x:v>
      </x:c>
      <x:c r="B40" s="13"/>
      <x:c r="C40" s="13"/>
      <x:c r="D40" s="2"/>
      <x:c r="E40" s="39"/>
    </x:row>
    <x:row r="41" ht="34" customHeight="1">
      <x:c r="A41" s="33" t="str">
        <x:v>Project sales (JOD)</x:v>
      </x:c>
      <x:c r="B41" s="41" t="n">
        <x:f>B17</x:f>
        <x:v>24000</x:v>
      </x:c>
      <x:c r="C41" s="41" t="n">
        <x:f>C17</x:f>
        <x:v>30000</x:v>
      </x:c>
      <x:c r="D41" s="2"/>
      <x:c r="E41" s="39"/>
    </x:row>
    <x:row r="42" ht="34" customHeight="1">
      <x:c r="A42" s="45" t="str">
        <x:v>Gross profit (JOD)</x:v>
      </x:c>
      <x:c r="B42" s="46" t="n">
        <x:f>B17-B18</x:f>
        <x:v>6000</x:v>
      </x:c>
      <x:c r="C42" s="46" t="n">
        <x:f>C17-C18</x:f>
        <x:v>9000</x:v>
      </x:c>
      <x:c r="D42" s="2"/>
      <x:c r="E42" s="39" t="str">
        <x:v>Sales less product cost.</x:v>
      </x:c>
    </x:row>
    <x:row r="43" ht="34" customHeight="1">
      <x:c r="A43" s="33" t="str">
        <x:v>Gross margin</x:v>
      </x:c>
      <x:c r="B43" s="37" t="n">
        <x:f>IF(B17=0,"Data missing",B42/B17)</x:f>
        <x:v>0.25</x:v>
      </x:c>
      <x:c r="C43" s="37" t="n">
        <x:f>IF(C17=0,"Data missing",C42/C17)</x:f>
        <x:v>0.3</x:v>
      </x:c>
      <x:c r="D43" s="2"/>
      <x:c r="E43" s="39"/>
    </x:row>
    <x:row r="44" ht="34" customHeight="1">
      <x:c r="A44" s="33" t="str">
        <x:v>Cash collected (JOD)</x:v>
      </x:c>
      <x:c r="B44" s="41" t="n">
        <x:f>B19</x:f>
        <x:v>16800</x:v>
      </x:c>
      <x:c r="C44" s="41" t="n">
        <x:f>C19</x:f>
        <x:v>21000</x:v>
      </x:c>
      <x:c r="D44" s="2"/>
      <x:c r="E44" s="39"/>
    </x:row>
    <x:row r="45" ht="34" customHeight="1">
      <x:c r="A45" s="33" t="str">
        <x:v>Remaining invoice balance (JOD)</x:v>
      </x:c>
      <x:c r="B45" s="41" t="n">
        <x:f>B20</x:f>
        <x:v>7200</x:v>
      </x:c>
      <x:c r="C45" s="41" t="n">
        <x:f>C20</x:f>
        <x:v>9000</x:v>
      </x:c>
      <x:c r="D45" s="2"/>
      <x:c r="E45" s="39"/>
    </x:row>
    <x:row r="46" ht="34" customHeight="1">
      <x:c r="A46" s="33" t="str">
        <x:v>Days overdue</x:v>
      </x:c>
      <x:c r="B46" s="43" t="n">
        <x:f>IF(B20&gt;0,MAX(0,B15-B21),0)</x:f>
        <x:v>10</x:v>
      </x:c>
      <x:c r="C46" s="43" t="n">
        <x:f>IF(C20&gt;0,MAX(0,C15-C21),0)</x:f>
        <x:v>0</x:v>
      </x:c>
      <x:c r="D46" s="2"/>
      <x:c r="E46" s="39" t="str">
        <x:v>Days from contractual due date to snapshot; zero if not yet due.</x:v>
      </x:c>
    </x:row>
    <x:row r="47" ht="34" customHeight="1">
      <x:c r="A47" s="45" t="str">
        <x:v>Overdue amount (JOD)</x:v>
      </x:c>
      <x:c r="B47" s="46" t="n">
        <x:f>IF(B46&gt;0,B20,0)</x:f>
        <x:v>7200</x:v>
      </x:c>
      <x:c r="C47" s="46" t="n">
        <x:f>IF(C46&gt;0,C20,0)</x:f>
        <x:v>0</x:v>
      </x:c>
      <x:c r="D47" s="2"/>
      <x:c r="E47" s="39"/>
    </x:row>
    <x:row r="48" ht="34" customHeight="1">
      <x:c r="A48" s="33" t="str">
        <x:v>Warehouse stock value (JOD)</x:v>
      </x:c>
      <x:c r="B48" s="41" t="n">
        <x:f>B26*B27</x:f>
        <x:v>1080</x:v>
      </x:c>
      <x:c r="C48" s="41" t="n">
        <x:f>C26*C27</x:f>
        <x:v>2400</x:v>
      </x:c>
      <x:c r="D48" s="2"/>
      <x:c r="E48" s="39"/>
    </x:row>
    <x:row r="49" ht="34" customHeight="1">
      <x:c r="A49" s="33" t="str">
        <x:v>Warehouse stock lasts (days)</x:v>
      </x:c>
      <x:c r="B49" s="41" t="n">
        <x:f>IF(B29=0,"No recent use",B26/B29)</x:f>
        <x:v>120</x:v>
      </x:c>
      <x:c r="C49" s="41" t="n">
        <x:f>IF(C29=0,"No recent use",C26/C29)</x:f>
        <x:v>96</x:v>
      </x:c>
      <x:c r="D49" s="2"/>
      <x:c r="E49" s="39"/>
    </x:row>
    <x:row r="50" ht="49" customHeight="1">
      <x:c r="A50" s="33" t="str">
        <x:v>Potential unsold units at expiry</x:v>
      </x:c>
      <x:c r="B50" s="43" t="n">
        <x:f>MAX(0,B26-ROUNDDOWN(MAX(0,B28-B15)*B29,0))</x:f>
        <x:v>0</x:v>
      </x:c>
      <x:c r="C50" s="43" t="n">
        <x:f>MAX(0,C26-ROUNDDOWN(MAX(0,C28-C15)*C29,0))</x:f>
        <x:v>24</x:v>
      </x:c>
      <x:c r="D50" s="2"/>
      <x:c r="E50" s="39" t="str">
        <x:v>Single batch, stable demand, whole pieces rounded down; real systems must allocate demand across all batches.</x:v>
      </x:c>
    </x:row>
    <x:row r="51" ht="34" customHeight="1">
      <x:c r="A51" s="45" t="str">
        <x:v>Potential expiry loss (JOD)</x:v>
      </x:c>
      <x:c r="B51" s="46" t="n">
        <x:f>B50*B27</x:f>
        <x:v>0</x:v>
      </x:c>
      <x:c r="C51" s="46" t="n">
        <x:f>C50*C27</x:f>
        <x:v>720</x:v>
      </x:c>
      <x:c r="D51" s="2"/>
      <x:c r="E51" s="39" t="str">
        <x:v>Estimated unsold units x cost; not a confirmed loss and not added to slow-stock value.</x:v>
      </x:c>
    </x:row>
    <x:row r="52" ht="34" customHeight="1">
      <x:c r="A52" s="33" t="str">
        <x:v>Category sales target (JOD)</x:v>
      </x:c>
      <x:c r="B52" s="41" t="n">
        <x:f>SUMIFS('Basic monthly'!$C$11:$C$16,'Basic monthly'!$B$11:$B$16,"Equipment", 'Basic monthly'!$A$11:$A$16,B13)</x:f>
        <x:v>26000</x:v>
      </x:c>
      <x:c r="C52" s="41" t="n">
        <x:f>SUMIFS('Basic monthly'!$C$11:$C$16,'Basic monthly'!$B$11:$B$16,"Devices", 'Basic monthly'!$A$11:$A$16,C13)</x:f>
        <x:v>32000</x:v>
      </x:c>
      <x:c r="D52" s="2"/>
      <x:c r="E52" s="39" t="str">
        <x:v>BM1, matched to September and product category.</x:v>
      </x:c>
    </x:row>
    <x:row r="53" ht="34" customHeight="1">
      <x:c r="A53" s="33" t="str">
        <x:v>Project sales as share of category target (illustration only)</x:v>
      </x:c>
      <x:c r="B53" s="37" t="n">
        <x:f>IF(B52=0,"No target",B41/B52)</x:f>
        <x:v>0.9230769230769231</x:v>
      </x:c>
      <x:c r="C53" s="37" t="n">
        <x:f>IF(C52=0,"No target",C41/C52)</x:f>
        <x:v>0.9375</x:v>
      </x:c>
      <x:c r="D53" s="2"/>
      <x:c r="E53" s="39" t="str">
        <x:v>One project against a whole category monthly target, so this is not target attainment. Real attainment = all sales of the SAME category and month / that target (calc.ts: attainment).</x:v>
      </x:c>
    </x:row>
    <x:row r="54" ht="34" customHeight="1">
      <x:c r="A54" s="33"/>
      <x:c r="B54" s="41"/>
      <x:c r="C54" s="41"/>
      <x:c r="D54" s="2"/>
      <x:c r="E54" s="39"/>
    </x:row>
    <x:row r="55" ht="34" customHeight="1">
      <x:c r="A55" s="38" t="str">
        <x:v>Advanced project calculations</x:v>
      </x:c>
      <x:c r="B55" s="42"/>
      <x:c r="C55" s="42"/>
      <x:c r="D55" s="2"/>
      <x:c r="E55" s="39"/>
    </x:row>
    <x:row r="56" ht="49" customHeight="1">
      <x:c r="A56" s="33" t="str">
        <x:v>Extra actual project costs (JOD)</x:v>
      </x:c>
      <x:c r="B56" s="41" t="n">
        <x:f>SUMIFS('Advanced monthly'!$G$50:$G$55,'Advanced monthly'!$C$50:$C$55,B9, 'Advanced monthly'!$F$50:$F$55,"Actual")</x:f>
        <x:v>600</x:v>
      </x:c>
      <x:c r="C56" s="41" t="n">
        <x:f>SUMIFS('Advanced monthly'!$G$50:$G$55,'Advanced monthly'!$C$50:$C$55,C9, 'Advanced monthly'!$F$50:$F$55,"Actual")</x:f>
        <x:v>900</x:v>
      </x:c>
      <x:c r="D56" s="2"/>
      <x:c r="E56" s="39" t="str">
        <x:v>AM4 actual costs only, matched by project. In live reports, combine with E09 once per cost reference.</x:v>
      </x:c>
    </x:row>
    <x:row r="57" ht="34" customHeight="1">
      <x:c r="A57" s="45" t="str">
        <x:v>Profit after project costs (JOD)</x:v>
      </x:c>
      <x:c r="B57" s="46" t="n">
        <x:f>B42-B56</x:f>
        <x:v>5400</x:v>
      </x:c>
      <x:c r="C57" s="46" t="n">
        <x:f>C42-C56</x:f>
        <x:v>8100</x:v>
      </x:c>
      <x:c r="D57" s="2"/>
      <x:c r="E57" s="39" t="str">
        <x:v>Gross profit less extra direct costs; excludes general company costs.</x:v>
      </x:c>
    </x:row>
    <x:row r="58" ht="34" customHeight="1">
      <x:c r="A58" s="33" t="str">
        <x:v>Margin after project costs</x:v>
      </x:c>
      <x:c r="B58" s="37" t="n">
        <x:f>B57/B41</x:f>
        <x:v>0.225</x:v>
      </x:c>
      <x:c r="C58" s="37" t="n">
        <x:f>C57/C41</x:f>
        <x:v>0.27</x:v>
      </x:c>
      <x:c r="D58" s="2"/>
      <x:c r="E58" s="39"/>
    </x:row>
    <x:row r="59" ht="34" customHeight="1">
      <x:c r="A59" s="33" t="str">
        <x:v>Tender value (JOD)</x:v>
      </x:c>
      <x:c r="B59" s="41" t="n">
        <x:f>INDEX('Advanced weekly'!$G$11:$G$16,MATCH(B9,'Advanced weekly'!$A$11:$A$16,0))</x:f>
        <x:v>24000</x:v>
      </x:c>
      <x:c r="C59" s="41" t="n">
        <x:f>INDEX('Advanced weekly'!$G$11:$G$16,MATCH(C9,'Advanced weekly'!$A$11:$A$16,0))</x:f>
        <x:v>30000</x:v>
      </x:c>
      <x:c r="D59" s="2"/>
      <x:c r="E59" s="39"/>
    </x:row>
    <x:row r="60" ht="34" customHeight="1">
      <x:c r="A60" s="33" t="str">
        <x:v>Full planned direct cost (JOD)</x:v>
      </x:c>
      <x:c r="B60" s="41" t="n">
        <x:f>INDEX('Advanced weekly'!$H$11:$H$16,MATCH(B9,'Advanced weekly'!$A$11:$A$16,0))</x:f>
        <x:v>18600</x:v>
      </x:c>
      <x:c r="C60" s="41" t="n">
        <x:f>INDEX('Advanced weekly'!$H$11:$H$16,MATCH(C9,'Advanced weekly'!$A$11:$A$16,0))</x:f>
        <x:v>21900</x:v>
      </x:c>
      <x:c r="D60" s="2"/>
      <x:c r="E60" s="39"/>
    </x:row>
    <x:row r="61" ht="34" customHeight="1">
      <x:c r="A61" s="33" t="str">
        <x:v>Planned tender profit (JOD)</x:v>
      </x:c>
      <x:c r="B61" s="41" t="n">
        <x:f>B59-B60</x:f>
        <x:v>5400</x:v>
      </x:c>
      <x:c r="C61" s="41" t="n">
        <x:f>C59-C60</x:f>
        <x:v>8100</x:v>
      </x:c>
      <x:c r="D61" s="2"/>
      <x:c r="E61" s="39"/>
    </x:row>
    <x:row r="62" ht="34" customHeight="1">
      <x:c r="A62" s="33" t="str">
        <x:v>Actual cost above / below plan (JOD)</x:v>
      </x:c>
      <x:c r="B62" s="41" t="n">
        <x:f>B18+B56-B60</x:f>
        <x:v>0</x:v>
      </x:c>
      <x:c r="C62" s="41" t="n">
        <x:f>C18+C56-C60</x:f>
        <x:v>0</x:v>
      </x:c>
      <x:c r="D62" s="2"/>
      <x:c r="E62" s="39" t="str">
        <x:v>Positive means actual cost exceeded the plan; zero means equal in this example.</x:v>
      </x:c>
    </x:row>
    <x:row r="63" ht="34" customHeight="1">
      <x:c r="A63" s="33"/>
      <x:c r="B63" s="41"/>
      <x:c r="C63" s="41"/>
      <x:c r="D63" s="2"/>
      <x:c r="E63" s="39"/>
    </x:row>
    <x:row r="64" ht="34" customHeight="1">
      <x:c r="A64" s="38" t="str">
        <x:v>Advanced repeat-consumable calculations</x:v>
      </x:c>
      <x:c r="B64" s="42"/>
      <x:c r="C64" s="42"/>
      <x:c r="D64" s="2"/>
      <x:c r="E64" s="39"/>
    </x:row>
    <x:row r="65" ht="34" customHeight="1">
      <x:c r="A65" s="33" t="str">
        <x:v>Monthly activity count</x:v>
      </x:c>
      <x:c r="B65" s="43" t="n">
        <x:f>INDEX('Advanced monthly'!$D$37:$D$42,MATCH(B10,'Advanced monthly'!$B$37:$B$42,0))</x:f>
        <x:v>120</x:v>
      </x:c>
      <x:c r="C65" s="43" t="n">
        <x:f>INDEX('Advanced monthly'!$D$37:$D$42,MATCH(C10,'Advanced monthly'!$B$37:$B$42,0))</x:f>
        <x:v>24</x:v>
      </x:c>
      <x:c r="D65" s="2"/>
      <x:c r="E65" s="39"/>
    </x:row>
    <x:row r="66" ht="34" customHeight="1">
      <x:c r="A66" s="33" t="str">
        <x:v>Consumable pieces per activity</x:v>
      </x:c>
      <x:c r="B66" s="41" t="n">
        <x:f>INDEX('Advanced monthly'!$D$24:$D$29,MATCH(B12,'Advanced monthly'!$B$24:$B$29,0))</x:f>
        <x:v>1</x:v>
      </x:c>
      <x:c r="C66" s="41" t="n">
        <x:f>INDEX('Advanced monthly'!$D$24:$D$29,MATCH(C12,'Advanced monthly'!$B$24:$B$29,0))</x:f>
        <x:v>1</x:v>
      </x:c>
      <x:c r="D66" s="2"/>
      <x:c r="E66" s="39"/>
    </x:row>
    <x:row r="67" ht="49" customHeight="1">
      <x:c r="A67" s="33" t="str">
        <x:v>Estimated consumable quantity</x:v>
      </x:c>
      <x:c r="B67" s="43" t="n">
        <x:f>B65*B66</x:f>
        <x:v>120</x:v>
      </x:c>
      <x:c r="C67" s="43" t="n">
        <x:f>C65*C66</x:f>
        <x:v>24</x:v>
      </x:c>
      <x:c r="D67" s="2"/>
      <x:c r="E67" s="39" t="str">
        <x:v>AM3 activity x AM2 approved quantity. Demo rules need technical confirmation.</x:v>
      </x:c>
    </x:row>
    <x:row r="68" ht="34" customHeight="1">
      <x:c r="A68" s="33" t="str">
        <x:v>Estimated demand at reference price (JOD)</x:v>
      </x:c>
      <x:c r="B68" s="41" t="n">
        <x:f>B67*B25</x:f>
        <x:v>360</x:v>
      </x:c>
      <x:c r="C68" s="41" t="n">
        <x:f>C67*C25</x:f>
        <x:v>1200</x:v>
      </x:c>
      <x:c r="D68" s="2"/>
      <x:c r="E68" s="39"/>
    </x:row>
    <x:row r="69" ht="49" customHeight="1">
      <x:c r="A69" s="33" t="str">
        <x:v>Purchases attributed to this unit (pieces)</x:v>
      </x:c>
      <x:c r="B69" s="43" t="n">
        <x:f>B22</x:f>
        <x:v>80</x:v>
      </x:c>
      <x:c r="C69" s="43" t="n">
        <x:f>C22</x:f>
        <x:v>12</x:v>
      </x:c>
      <x:c r="D69" s="2"/>
      <x:c r="E69" s="39" t="str">
        <x:v>One unit per customer/product here. Multiple units require confirmed attribution or allocation shares.</x:v>
      </x:c>
    </x:row>
    <x:row r="70" ht="34" customHeight="1">
      <x:c r="A70" s="33" t="str">
        <x:v>Purchases at reference price (JOD)</x:v>
      </x:c>
      <x:c r="B70" s="41" t="n">
        <x:f>B69*B25</x:f>
        <x:v>240</x:v>
      </x:c>
      <x:c r="C70" s="41" t="n">
        <x:f>C69*C25</x:f>
        <x:v>600</x:v>
      </x:c>
      <x:c r="D70" s="2"/>
      <x:c r="E70" s="39"/>
    </x:row>
    <x:row r="71" ht="49" customHeight="1">
      <x:c r="A71" s="45" t="str">
        <x:v>Purchasing gap to investigate (JOD)</x:v>
      </x:c>
      <x:c r="B71" s="46" t="n">
        <x:f>B68-B70</x:f>
        <x:v>120</x:v>
      </x:c>
      <x:c r="C71" s="46" t="n">
        <x:f>C68-C70</x:f>
        <x:v>600</x:v>
      </x:c>
      <x:c r="D71" s="2"/>
      <x:c r="E71" s="39" t="str">
        <x:v>Estimated difference; stock drawdown, buying cycles or other suppliers can explain it. It is not proven lost profit.</x:v>
      </x:c>
    </x:row>
    <x:row r="72" ht="34" customHeight="1">
      <x:c r="A72" s="33" t="str">
        <x:v>Purchases versus estimated demand</x:v>
      </x:c>
      <x:c r="B72" s="37" t="n">
        <x:f>IF(B67=0,"Data missing",B69/B67)</x:f>
        <x:v>0.6666666666666666</x:v>
      </x:c>
      <x:c r="C72" s="37" t="n">
        <x:f>IF(C67=0,"Data missing",C69/C67)</x:f>
        <x:v>0.5</x:v>
      </x:c>
      <x:c r="D72" s="2"/>
      <x:c r="E72" s="39"/>
    </x:row>
    <x:row r="73" ht="34" customHeight="1">
      <x:c r="A73" s="33" t="str">
        <x:v>Customer stock (pieces)</x:v>
      </x:c>
      <x:c r="B73" s="43" t="n">
        <x:f>INDEX('Advanced monthly'!$F$37:$F$42,MATCH(B10,'Advanced monthly'!$B$37:$B$42,0))</x:f>
        <x:v>16</x:v>
      </x:c>
      <x:c r="C73" s="43" t="n">
        <x:f>INDEX('Advanced monthly'!$F$37:$F$42,MATCH(C10,'Advanced monthly'!$B$37:$B$42,0))</x:f>
        <x:v>6</x:v>
      </x:c>
      <x:c r="D73" s="2"/>
      <x:c r="E73" s="39"/>
    </x:row>
    <x:row r="74" ht="49" customHeight="1">
      <x:c r="A74" s="33" t="str">
        <x:v>Customer stock lasts (days)</x:v>
      </x:c>
      <x:c r="B74" s="41" t="n">
        <x:f>IF(B67=0,"No recent use",B73/(B67/(B14-B13+1)))</x:f>
        <x:v>4</x:v>
      </x:c>
      <x:c r="C74" s="41" t="n">
        <x:f>IF(C67=0,"No recent use",C73/(C67/(C14-C13+1)))</x:f>
        <x:v>7.5</x:v>
      </x:c>
      <x:c r="D74" s="2"/>
      <x:c r="E74" s="39" t="str">
        <x:v>Closing customer stock / average estimated daily consumption over the 30-day September period.</x:v>
      </x:c>
    </x:row>
    <x:row r="75" ht="49" customHeight="1">
      <x:c r="A75" s="45" t="str">
        <x:v>Equipment-use rate</x:v>
      </x:c>
      <x:c r="B75" s="48" t="n">
        <x:f>IF(INDEX('Advanced monthly'!$E$37:$E$42,MATCH(B10,'Advanced monthly'!$B$37:$B$42,0))=0,"Data missing",INDEX('Advanced monthly'!$D$37:$D$42,MATCH(B10,'Advanced monthly'!$B$37:$B$42,0))/INDEX('Advanced monthly'!$E$37:$E$42,MATCH(B10,'Advanced monthly'!$B$37:$B$42,0)))</x:f>
        <x:v>0.75</x:v>
      </x:c>
      <x:c r="C75" s="48" t="n">
        <x:f>IF(INDEX('Advanced monthly'!$E$37:$E$42,MATCH(C10,'Advanced monthly'!$B$37:$B$42,0))=0,"Data missing",INDEX('Advanced monthly'!$D$37:$D$42,MATCH(C10,'Advanced monthly'!$B$37:$B$42,0))/INDEX('Advanced monthly'!$E$37:$E$42,MATCH(C10,'Advanced monthly'!$B$37:$B$42,0)))</x:f>
        <x:v>0.8</x:v>
      </x:c>
      <x:c r="D75" s="2"/>
      <x:c r="E75" s="39" t="str">
        <x:v>Activity / practical capacity, same unit and period. Capacity is not the number of working staff.</x:v>
      </x:c>
    </x:row>
    <x:row r="76" ht="49" customHeight="1">
      <x:c r="A76" s="45" t="str">
        <x:v>Possible extra yearly sales (JOD)</x:v>
      </x:c>
      <x:c r="B76" s="46" t="n">
        <x:f>MAX(0,B71)*$B$33*12</x:f>
        <x:v>576</x:v>
      </x:c>
      <x:c r="C76" s="46" t="n">
        <x:f>MAX(0,C71)*$B$33*12</x:f>
        <x:v>2880</x:v>
      </x:c>
      <x:c r="D76" s="2"/>
      <x:c r="E76" s="39" t="str">
        <x:v>Positive monthly gap x assumed share won x 12. Assumes stable demand for 12 months.</x:v>
      </x:c>
    </x:row>
    <x:row r="77" ht="34" customHeight="1">
      <x:c r="A77" s="45" t="str">
        <x:v>Possible extra yearly profit (JOD)</x:v>
      </x:c>
      <x:c r="B77" s="46" t="n">
        <x:f>B76*$B$34</x:f>
        <x:v>172.79999999999998</x:v>
      </x:c>
      <x:c r="C77" s="46" t="n">
        <x:f>C76*$B$34</x:f>
        <x:v>864</x:v>
      </x:c>
      <x:c r="D77" s="2"/>
      <x:c r="E77" s="39"/>
    </x:row>
    <x:row r="78" ht="34" customHeight="1">
      <x:c r="A78" s="33"/>
      <x:c r="B78" s="2"/>
      <x:c r="C78" s="2"/>
      <x:c r="D78" s="2"/>
      <x:c r="E78" s="39"/>
    </x:row>
    <x:row r="79" ht="34" customHeight="1">
      <x:c r="A79" s="38" t="str">
        <x:v>Advanced agreement and age checks</x:v>
      </x:c>
      <x:c r="B79" s="13"/>
      <x:c r="C79" s="13"/>
      <x:c r="D79" s="2"/>
      <x:c r="E79" s="39"/>
    </x:row>
    <x:row r="80" ht="49" customHeight="1">
      <x:c r="A80" s="33" t="str">
        <x:v>Agreement status at snapshot</x:v>
      </x:c>
      <x:c r="B80" s="2" t="str">
        <x:f>IF(INDEX('Advanced monthly'!$H$11:$H$16,MATCH(B10,'Advanced monthly'!$A$11:$A$16,0))="No","No contract",IF(INDEX('Advanced monthly'!$H$11:$H$16,MATCH(B10,'Advanced monthly'!$A$11:$A$16,0))&lt;&gt;"Yes","Data missing",IF(OR(INDEX('Advanced monthly'!$I$11:$I$16,MATCH(B10,'Advanced monthly'!$A$11:$A$16,0))=0,INDEX('Advanced monthly'!$J$11:$J$16,MATCH(B10,'Advanced monthly'!$A$11:$A$16,0))=0),"Data missing",IF(INDEX('Advanced monthly'!$I$11:$I$16,MATCH(B10,'Advanced monthly'!$A$11:$A$16,0))&gt;B15,"Not started",IF(INDEX('Advanced monthly'!$J$11:$J$16,MATCH(B10,'Advanced monthly'!$A$11:$A$16,0))&lt;B15,"Expired",IF(INDEX('Advanced monthly'!$J$11:$J$16,MATCH(B10,'Advanced monthly'!$A$11:$A$16,0))&lt;=B15+$B$36,"Renewal due","Active"))))))</x:f>
        <x:v>Active</x:v>
      </x:c>
      <x:c r="C80" s="2" t="str">
        <x:f>IF(INDEX('Advanced monthly'!$H$11:$H$16,MATCH(C10,'Advanced monthly'!$A$11:$A$16,0))="No","No contract",IF(INDEX('Advanced monthly'!$H$11:$H$16,MATCH(C10,'Advanced monthly'!$A$11:$A$16,0))&lt;&gt;"Yes","Data missing",IF(OR(INDEX('Advanced monthly'!$I$11:$I$16,MATCH(C10,'Advanced monthly'!$A$11:$A$16,0))=0,INDEX('Advanced monthly'!$J$11:$J$16,MATCH(C10,'Advanced monthly'!$A$11:$A$16,0))=0),"Data missing",IF(INDEX('Advanced monthly'!$I$11:$I$16,MATCH(C10,'Advanced monthly'!$A$11:$A$16,0))&gt;C15,"Not started",IF(INDEX('Advanced monthly'!$J$11:$J$16,MATCH(C10,'Advanced monthly'!$A$11:$A$16,0))&lt;C15,"Expired",IF(INDEX('Advanced monthly'!$J$11:$J$16,MATCH(C10,'Advanced monthly'!$A$11:$A$16,0))&lt;=C15+$B$36,"Renewal due","Active"))))))</x:f>
        <x:v>No contract</x:v>
      </x:c>
      <x:c r="D80" s="2"/>
      <x:c r="E80" s="39"/>
    </x:row>
    <x:row r="81" ht="34" customHeight="1">
      <x:c r="A81" s="33" t="str">
        <x:v>Unit covered: 1 = yes, 0 = no</x:v>
      </x:c>
      <x:c r="B81" s="2" t="n">
        <x:f>IF(B80="Data missing","Data missing",IF(OR(B80="Active",B80="Renewal due"),1,0))</x:f>
        <x:v>1</x:v>
      </x:c>
      <x:c r="C81" s="2" t="n">
        <x:f>IF(C80="Data missing","Data missing",IF(OR(C80="Active",C80="Renewal due"),1,0))</x:f>
        <x:v>0</x:v>
      </x:c>
      <x:c r="D81" s="2"/>
      <x:c r="E81" s="39"/>
    </x:row>
    <x:row r="82" ht="34" customHeight="1">
      <x:c r="A82" s="33" t="str">
        <x:v>Equipment age review</x:v>
      </x:c>
      <x:c r="B82" s="2" t="str">
        <x:f>IF(INDEX('Advanced monthly'!$D$11:$D$16,MATCH(B10,'Advanced monthly'!$A$11:$A$16,0))=0,"Data missing",IF(DATE(YEAR(INDEX('Advanced monthly'!$D$11:$D$16,MATCH(B10,'Advanced monthly'!$A$11:$A$16,0)))+$B$35,MONTH(INDEX('Advanced monthly'!$D$11:$D$16,MATCH(B10,'Advanced monthly'!$A$11:$A$16,0))),DAY(INDEX('Advanced monthly'!$D$11:$D$16,MATCH(B10,'Advanced monthly'!$A$11:$A$16,0))))&lt;=B15,"Review age","Below threshold"))</x:f>
        <x:v>Below threshold</x:v>
      </x:c>
      <x:c r="C82" s="2" t="str">
        <x:f>IF(INDEX('Advanced monthly'!$D$11:$D$16,MATCH(C10,'Advanced monthly'!$A$11:$A$16,0))=0,"Data missing",IF(DATE(YEAR(INDEX('Advanced monthly'!$D$11:$D$16,MATCH(C10,'Advanced monthly'!$A$11:$A$16,0)))+$B$35,MONTH(INDEX('Advanced monthly'!$D$11:$D$16,MATCH(C10,'Advanced monthly'!$A$11:$A$16,0))),DAY(INDEX('Advanced monthly'!$D$11:$D$16,MATCH(C10,'Advanced monthly'!$A$11:$A$16,0))))&lt;=C15,"Review age","Below threshold"))</x:f>
        <x:v>Review age</x:v>
      </x:c>
      <x:c r="D82" s="2"/>
      <x:c r="E82" s="39"/>
    </x:row>
    <x:row r="83" ht="34" customHeight="1">
      <x:c r="A83" s="33"/>
      <x:c r="B83" s="2"/>
      <x:c r="C83" s="2"/>
      <x:c r="D83" s="2"/>
      <x:c r="E83" s="39"/>
    </x:row>
    <x:row r="84" ht="34" customHeight="1">
      <x:c r="A84" s="33" t="str">
        <x:v>Coverage for these two active units</x:v>
      </x:c>
      <x:c r="B84" s="37" t="n">
        <x:f>IF(COUNT(B81:C81)&lt;2,"Data missing",SUM(B81:C81)/2)</x:f>
        <x:v>0.5</x:v>
      </x:c>
      <x:c r="C84" s="2"/>
      <x:c r="D84" s="2"/>
      <x:c r="E84" s="39" t="str">
        <x:v>Active agreements / active units. Unknown coverage must remain visible.</x:v>
      </x:c>
    </x:row>
    <x:row r="85" ht="34" customHeight="1">
      <x:c r="A85" s="33"/>
      <x:c r="B85" s="2"/>
      <x:c r="C85" s="2"/>
      <x:c r="D85" s="2"/>
      <x:c r="E85" s="39"/>
    </x:row>
    <x:row r="86" ht="34" customHeight="1">
      <x:c r="A86" s="38" t="str">
        <x:v>Monthly department examples</x:v>
      </x:c>
      <x:c r="B86" s="13" t="str">
        <x:v>Actual %</x:v>
      </x:c>
      <x:c r="C86" s="13" t="str">
        <x:v>Target %</x:v>
      </x:c>
      <x:c r="D86" s="2"/>
      <x:c r="E86" s="39"/>
    </x:row>
    <x:row r="87" ht="34" customHeight="1">
      <x:c r="A87" s="33" t="str">
        <x:v>Support responses on time</x:v>
      </x:c>
      <x:c r="B87" s="2" t="n">
        <x:f>'Advanced monthly'!G63</x:f>
        <x:v>84</x:v>
      </x:c>
      <x:c r="C87" s="2" t="n">
        <x:f>'Advanced monthly'!E63</x:f>
        <x:v>95</x:v>
      </x:c>
      <x:c r="D87" s="2"/>
      <x:c r="E87" s="39" t="str">
        <x:v>42 of 50 cases = 84%, against an illustrative 95% target.</x:v>
      </x:c>
    </x:row>
    <x:row r="88" ht="34" customHeight="1">
      <x:c r="A88" s="33" t="str">
        <x:v>Complete documents at first review</x:v>
      </x:c>
      <x:c r="B88" s="2" t="n">
        <x:f>'Advanced monthly'!G64</x:f>
        <x:v>76</x:v>
      </x:c>
      <x:c r="C88" s="2" t="n">
        <x:f>'Advanced monthly'!E64</x:f>
        <x:v>98</x:v>
      </x:c>
      <x:c r="D88" s="2"/>
      <x:c r="E88" s="39" t="str">
        <x:v>19 of 25 first reviews = 76%, against an illustrative 98% target.</x:v>
      </x:c>
    </x:row>
    <x:row r="89" ht="24" customHeight="1">
      <x:c r="A89" s="2"/>
      <x:c r="B89" s="2"/>
      <x:c r="C89" s="2"/>
      <x:c r="D89" s="2"/>
      <x:c r="E89" s="2"/>
    </x:row>
    <x:row r="90" ht="24" customHeight="1">
      <x:c r="A90" s="2"/>
      <x:c r="B90" s="2"/>
      <x:c r="C90" s="2"/>
      <x:c r="D90" s="2"/>
      <x:c r="E90" s="2"/>
    </x:row>
    <x:row r="91" ht="24" customHeight="1">
      <x:c r="A91" s="5" t="str">
        <x:v>This sheet checks two fixed demo cases. Production calculations need all confirmed sources, period filters, joins, and duplicate controls.</x:v>
      </x:c>
      <x:c r="B91" s="2"/>
      <x:c r="C91" s="2"/>
      <x:c r="D91" s="2"/>
      <x:c r="E91" s="2"/>
    </x:row>
    <x:row r="92" ht="24" customHeight="1">
      <x:c r="A92" s="5" t="str">
        <x:v>ERP values above are fictional examples, not extra fields to type. Use the relevant manual tables for records missing from the actual source.</x:v>
      </x:c>
      <x:c r="B92" s="2"/>
      <x:c r="C92" s="2"/>
      <x:c r="D92" s="2"/>
      <x:c r="E92" s="2"/>
    </x:row>
    <x:row r="93" ht="24" customHeight="1">
      <x:c r="A93" s="2"/>
      <x:c r="B93" s="2"/>
      <x:c r="C93" s="2"/>
      <x:c r="D93" s="2"/>
      <x:c r="E93" s="2"/>
    </x:row>
    <x:row r="94" ht="24" customHeight="1">
      <x:c r="A94" s="2"/>
      <x:c r="B94" s="2"/>
      <x:c r="C94" s="2"/>
      <x:c r="D94" s="2"/>
      <x:c r="E94" s="2"/>
    </x:row>
    <x:row r="95" ht="24" customHeight="1">
      <x:c r="A95" s="2"/>
      <x:c r="B95" s="2"/>
      <x:c r="C95" s="2"/>
      <x:c r="D95" s="2"/>
      <x:c r="E95" s="2"/>
    </x:row>
    <x:row r="96" ht="24" customHeight="1">
      <x:c r="A96" s="2"/>
      <x:c r="B96" s="2"/>
      <x:c r="C96" s="2"/>
      <x:c r="D96" s="2"/>
      <x:c r="E96" s="2"/>
    </x:row>
    <x:row r="97" ht="24" customHeight="1">
      <x:c r="A97" s="2"/>
      <x:c r="B97" s="2"/>
      <x:c r="C97" s="2"/>
      <x:c r="D97" s="2"/>
      <x:c r="E97" s="2"/>
    </x:row>
    <x:row r="98" ht="24" customHeight="1">
      <x:c r="A98" s="2"/>
      <x:c r="B98" s="2"/>
      <x:c r="C98" s="2"/>
      <x:c r="D98" s="2"/>
      <x:c r="E98" s="2"/>
    </x:row>
    <x:row r="99" ht="24" customHeight="1">
      <x:c r="A99" s="2"/>
      <x:c r="B99" s="2"/>
      <x:c r="C99" s="2"/>
      <x:c r="D99" s="2"/>
      <x:c r="E99" s="2"/>
    </x:row>
    <x:row r="100" ht="24" customHeight="1">
      <x:c r="A100" s="2"/>
      <x:c r="B100" s="2"/>
      <x:c r="C100" s="2"/>
      <x:c r="D100" s="2"/>
      <x:c r="E100" s="2"/>
    </x:row>
    <x:row r="101" ht="24" customHeight="1">
      <x:c r="A101" s="2"/>
      <x:c r="B101" s="2"/>
      <x:c r="C101" s="2"/>
      <x:c r="D101" s="2"/>
      <x:c r="E101" s="2"/>
    </x:row>
    <x:row r="102" ht="24" customHeight="1">
      <x:c r="A102" s="2"/>
      <x:c r="B102" s="2"/>
      <x:c r="C102" s="2"/>
      <x:c r="D102" s="2"/>
      <x:c r="E102" s="2"/>
    </x:row>
    <x:row r="103" ht="24" customHeight="1">
      <x:c r="A103" s="2"/>
      <x:c r="B103" s="2"/>
      <x:c r="C103" s="2"/>
      <x:c r="D103" s="2"/>
      <x:c r="E103" s="2"/>
    </x:row>
    <x:row r="104" ht="24" customHeight="1">
      <x:c r="A104" s="2"/>
      <x:c r="B104" s="2"/>
      <x:c r="C104" s="2"/>
      <x:c r="D104" s="2"/>
      <x:c r="E104" s="2"/>
    </x:row>
    <x:row r="105" ht="24" customHeight="1">
      <x:c r="A105" s="2"/>
      <x:c r="B105" s="2"/>
      <x:c r="C105" s="2"/>
      <x:c r="D105" s="2"/>
      <x:c r="E105" s="2"/>
    </x:row>
    <x:row r="106" ht="24" customHeight="1">
      <x:c r="A106" s="2"/>
      <x:c r="B106" s="2"/>
      <x:c r="C106" s="2"/>
      <x:c r="D106" s="2"/>
      <x:c r="E106" s="2"/>
    </x:row>
    <x:row r="107" ht="24" customHeight="1">
      <x:c r="A107" s="2"/>
      <x:c r="B107" s="2"/>
      <x:c r="C107" s="2"/>
      <x:c r="D107" s="2"/>
      <x:c r="E107" s="2"/>
    </x:row>
    <x:row r="108" ht="24" customHeight="1">
      <x:c r="A108" s="2"/>
      <x:c r="B108" s="2"/>
      <x:c r="C108" s="2"/>
      <x:c r="D108" s="2"/>
      <x:c r="E108" s="2"/>
    </x:row>
  </x:sheetData>
  <x:pageMargins left="0.7" right="0.7" top="0.75" bottom="0.75" header="0.3" footer="0.3"/>
</x:worksheet>
</file>